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paign Overview" sheetId="1" state="visible" r:id="rId3"/>
    <sheet name="Ad Inventory" sheetId="2" state="visible" r:id="rId4"/>
    <sheet name="Daily Performance Tracker" sheetId="3" state="visible" r:id="rId5"/>
    <sheet name="Lead Form Specs" sheetId="4" state="visible" r:id="rId6"/>
    <sheet name="Budget &amp; UTM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<sst xmlns="http://schemas.openxmlformats.org/spreadsheetml/2006/main" count="489" uniqueCount="342">
  <si>
    <t xml:space="preserve">PLUG A PRO — 30-DAY META CAMPAIGN OVERVIEW</t>
  </si>
  <si>
    <t xml:space="preserve">Campaign: 'From Street Signs to Real Leads' | Market: Johannesburg &amp; Surrounds | Status: DRAFT — Pending Budget Approval</t>
  </si>
  <si>
    <t xml:space="preserve">CAMPAIGN SUMMARY</t>
  </si>
  <si>
    <t xml:space="preserve">Brand</t>
  </si>
  <si>
    <t xml:space="preserve">Plug A Pro</t>
  </si>
  <si>
    <t xml:space="preserve">Campaign Idea</t>
  </si>
  <si>
    <t xml:space="preserve">From street signs to real leads</t>
  </si>
  <si>
    <t xml:space="preserve">Duration</t>
  </si>
  <si>
    <t xml:space="preserve">30 Days</t>
  </si>
  <si>
    <t xml:space="preserve">Primary Market</t>
  </si>
  <si>
    <t xml:space="preserve">Johannesburg, Soweto, Randburg, Sandton, Midrand &amp; surrounds</t>
  </si>
  <si>
    <t xml:space="preserve">Platforms</t>
  </si>
  <si>
    <t xml:space="preserve">Facebook Feed | Instagram Feed | Stories | Reels (Advantage+ placements)</t>
  </si>
  <si>
    <t xml:space="preserve">Primary CTA</t>
  </si>
  <si>
    <t xml:space="preserve">Send WhatsApp Message</t>
  </si>
  <si>
    <t xml:space="preserve">Secondary CTA</t>
  </si>
  <si>
    <t xml:space="preserve">Get Quote | Request Service | Sign Up</t>
  </si>
  <si>
    <t xml:space="preserve">Budget Option A</t>
  </si>
  <si>
    <t xml:space="preserve">R150/day total — R90 Customer Leads | R60 Provider Onboarding</t>
  </si>
  <si>
    <t xml:space="preserve">Budget Option B</t>
  </si>
  <si>
    <t xml:space="preserve">R300/day total — R180 Customer Leads | R120 Provider Onboarding</t>
  </si>
  <si>
    <t xml:space="preserve">Budget Approved?</t>
  </si>
  <si>
    <t xml:space="preserve">⚠️  NOT YET — Campaigns created as DRAFTS only</t>
  </si>
  <si>
    <t xml:space="preserve">Publish Approved?</t>
  </si>
  <si>
    <t xml:space="preserve">⚠️  NOT YET — Do NOT publish without explicit approval</t>
  </si>
  <si>
    <t xml:space="preserve">Special Ad Category</t>
  </si>
  <si>
    <t xml:space="preserve">⚠️  Provider Onboarding campaign may require 'Employment' or 'Income Opportunity' SAC — confirm before publishing</t>
  </si>
  <si>
    <t xml:space="preserve">Created By</t>
  </si>
  <si>
    <t xml:space="preserve">Plug A Pro Digital Campaign Operator</t>
  </si>
  <si>
    <t xml:space="preserve">Created Date</t>
  </si>
  <si>
    <t xml:space="preserve">29 April 2026</t>
  </si>
  <si>
    <t xml:space="preserve">30-DAY PHASE PLAN</t>
  </si>
  <si>
    <t xml:space="preserve">Phase</t>
  </si>
  <si>
    <t xml:space="preserve">Days</t>
  </si>
  <si>
    <t xml:space="preserve">Focus</t>
  </si>
  <si>
    <t xml:space="preserve">Key Message</t>
  </si>
  <si>
    <t xml:space="preserve">Ads to Run</t>
  </si>
  <si>
    <t xml:space="preserve">Action / Notes</t>
  </si>
  <si>
    <t xml:space="preserve">Phase 1 — Setup</t>
  </si>
  <si>
    <t xml:space="preserve">Days 1–3</t>
  </si>
  <si>
    <t xml:space="preserve">Clean assets, build campaigns</t>
  </si>
  <si>
    <t xml:space="preserve">Prepare and structure everything before going live</t>
  </si>
  <si>
    <t xml:space="preserve">No live ads — all drafts</t>
  </si>
  <si>
    <t xml:space="preserve">Crop images ✓ | Redact sensitive info ✓ | Export 30 creatives ✓ | Build lead forms | Upload to Meta</t>
  </si>
  <si>
    <t xml:space="preserve">Phase 2 — Awareness</t>
  </si>
  <si>
    <t xml:space="preserve">Days 4–7</t>
  </si>
  <si>
    <t xml:space="preserve">Tell the Plug A Pro story</t>
  </si>
  <si>
    <t xml:space="preserve">Skilled people advertise on the street every day. Plug A Pro brings those skills online.</t>
  </si>
  <si>
    <t xml:space="preserve">2 Customer ads + 2 Provider onboarding ads</t>
  </si>
  <si>
    <t xml:space="preserve">Run broad awareness; do not optimise heavily yet; let Meta learn</t>
  </si>
  <si>
    <t xml:space="preserve">Phase 3 — Problem/Solution</t>
  </si>
  <si>
    <t xml:space="preserve">Days 8–14</t>
  </si>
  <si>
    <t xml:space="preserve">Show the gap: roadside vs digital</t>
  </si>
  <si>
    <t xml:space="preserve">Roadside signs work only when someone drives past. Digital leads work while people are searching.</t>
  </si>
  <si>
    <t xml:space="preserve">Carousel (multi-sign images) + Provider sign-up ad + Customer booking ad</t>
  </si>
  <si>
    <t xml:space="preserve">Introduce carousel format; test problem/solution messaging</t>
  </si>
  <si>
    <t xml:space="preserve">Phase 4 — Trust &amp; Range</t>
  </si>
  <si>
    <t xml:space="preserve">Days 15–21</t>
  </si>
  <si>
    <t xml:space="preserve">Show full trade coverage</t>
  </si>
  <si>
    <t xml:space="preserve">Plumbing • Electrical • Carpentry • Painting • Tiling • Welding • Roofing • Waterproofing • Gutters • Paving</t>
  </si>
  <si>
    <t xml:space="preserve">Multi-service carousel + Story/Reel creative + 1 customer lead ad + 1 provider lead ad</t>
  </si>
  <si>
    <t xml:space="preserve">Refresh creatives; duplicate top performers into Stories format</t>
  </si>
  <si>
    <t xml:space="preserve">Phase 5 — Conversion</t>
  </si>
  <si>
    <t xml:space="preserve">Days 22–30</t>
  </si>
  <si>
    <t xml:space="preserve">Convert leads and registrations</t>
  </si>
  <si>
    <t xml:space="preserve">Need work done? Tell us what you need. | Skilled and ready? Register with Plug A Pro.</t>
  </si>
  <si>
    <t xml:space="preserve">Best-performing creatives from Phase 2–4; pause underperformers</t>
  </si>
  <si>
    <t xml:space="preserve">Increase budget on strong CPL ads only; add retargeting if available; review weekly</t>
  </si>
  <si>
    <t xml:space="preserve">COMPLIANCE CHECKLIST</t>
  </si>
  <si>
    <t xml:space="preserve">Status</t>
  </si>
  <si>
    <t xml:space="preserve">Compliance Item</t>
  </si>
  <si>
    <t xml:space="preserve">✅</t>
  </si>
  <si>
    <t xml:space="preserve">No guaranteed income language used</t>
  </si>
  <si>
    <t xml:space="preserve">No guaranteed leads language used</t>
  </si>
  <si>
    <t xml:space="preserve">No pity/desperation language used</t>
  </si>
  <si>
    <t xml:space="preserve">No discriminatory audience targeting (race, gender, age, religion, income)</t>
  </si>
  <si>
    <t xml:space="preserve">Phone numbers redacted from Welder Sign 2</t>
  </si>
  <si>
    <t xml:space="preserve">Third-party brand logos redacted: Marley, Duram, Top Roofing (Roofing Sign 1); Stone Tile (Handyman Sign 2); ITD Builder (Plumber Sign 2)</t>
  </si>
  <si>
    <t xml:space="preserve">No visible number plates in processed creatives</t>
  </si>
  <si>
    <t xml:space="preserve">No private individuals identifiable in images</t>
  </si>
  <si>
    <t xml:space="preserve">⚠️</t>
  </si>
  <si>
    <t xml:space="preserve">Provider Onboarding campaign — confirm Special Ad Category (Employment/Income Opportunity) before publishing</t>
  </si>
  <si>
    <t xml:space="preserve">Budget approval required before publishing any ad</t>
  </si>
  <si>
    <t xml:space="preserve">Final content review by Plug A Pro team required before go-live</t>
  </si>
  <si>
    <t xml:space="preserve">PLUG A PRO — AD INVENTORY &amp; NAMING REGISTER</t>
  </si>
  <si>
    <t xml:space="preserve">Ad Name (Naming Convention)</t>
  </si>
  <si>
    <t xml:space="preserve">Campaign</t>
  </si>
  <si>
    <t xml:space="preserve">Ad Set</t>
  </si>
  <si>
    <t xml:space="preserve">Creative File</t>
  </si>
  <si>
    <t xml:space="preserve">Format</t>
  </si>
  <si>
    <t xml:space="preserve">Dimensions</t>
  </si>
  <si>
    <t xml:space="preserve">Headline</t>
  </si>
  <si>
    <t xml:space="preserve">Body Copy</t>
  </si>
  <si>
    <t xml:space="preserve">CTA</t>
  </si>
  <si>
    <t xml:space="preserve">Overlay Text</t>
  </si>
  <si>
    <t xml:space="preserve">Compliance</t>
  </si>
  <si>
    <t xml:space="preserve">UTM Content</t>
  </si>
  <si>
    <t xml:space="preserve">Notes</t>
  </si>
  <si>
    <t xml:space="preserve">BP_Customers_PlumbingElectrical_RoadsideSign_01</t>
  </si>
  <si>
    <t xml:space="preserve">BP_30D_CustomerLeads_JHB</t>
  </si>
  <si>
    <t xml:space="preserve">AdSet1_HomeRepairs_PlumbElec</t>
  </si>
  <si>
    <t xml:space="preserve">Plug A Pro - Plumber Electrician Carpenter Sign 1_1080x1080.jpg</t>
  </si>
  <si>
    <t xml:space="preserve">Feed Square</t>
  </si>
  <si>
    <t xml:space="preserve">1080x1080</t>
  </si>
  <si>
    <t xml:space="preserve">Find a Local Pro</t>
  </si>
  <si>
    <t xml:space="preserve">Need a plumber, electrician, painter, tiler, welder or handyman?
Plug A Pro connects you with local service providers for home repairs.
Send us a WhatsApp and tell us what you need.</t>
  </si>
  <si>
    <t xml:space="preserve">Need a reliable local pro?</t>
  </si>
  <si>
    <t xml:space="preserve">✅ Clean</t>
  </si>
  <si>
    <t xml:space="preserve">bp_30d_leads</t>
  </si>
  <si>
    <t xml:space="preserve">DRAFT</t>
  </si>
  <si>
    <t xml:space="preserve">Primary customer ad – Phase 2 launch</t>
  </si>
  <si>
    <t xml:space="preserve">BP_Customers_PlumbingElectrical_RoadsideSign_01_Story</t>
  </si>
  <si>
    <t xml:space="preserve">Plug A Pro - Plumber Electrician Carpenter Sign 1_1080x1920.jpg</t>
  </si>
  <si>
    <t xml:space="preserve">Story</t>
  </si>
  <si>
    <t xml:space="preserve">1080x1920</t>
  </si>
  <si>
    <t xml:space="preserve">Need a plumber, electrician or handyman? Send us a WhatsApp.</t>
  </si>
  <si>
    <t xml:space="preserve">Story format – duplicate of above</t>
  </si>
  <si>
    <t xml:space="preserve">BP_Customers_HandymanPainter_RoadsideSign_02</t>
  </si>
  <si>
    <t xml:space="preserve">Plug A Pro - Handyman Painter Tiler Sign 1_1080x1080.jpg</t>
  </si>
  <si>
    <t xml:space="preserve">Book Local Service Help</t>
  </si>
  <si>
    <t xml:space="preserve">From leaks to lights, gates to gutters — Plug A Pro helps you find local skilled help without driving around looking for signs.
Tell us what needs fixing.</t>
  </si>
  <si>
    <t xml:space="preserve">Get Quote</t>
  </si>
  <si>
    <t xml:space="preserve">Find plumbers, electricians and handymen near you.</t>
  </si>
  <si>
    <t xml:space="preserve">Phase 2 – second customer creative</t>
  </si>
  <si>
    <t xml:space="preserve">BP_Customers_RoofingGutters_BuildingMaterials_01</t>
  </si>
  <si>
    <t xml:space="preserve">AdSet2_PropertyMaint_Roofing</t>
  </si>
  <si>
    <t xml:space="preserve">Plug A Pro - Roofing Waterproofing Gutters Sign 1_1080x1080.jpg</t>
  </si>
  <si>
    <t xml:space="preserve">From leaks to lights, gates to gutters — Plug A Pro helps you find local skilled help.
Tell us what needs fixing.</t>
  </si>
  <si>
    <t xml:space="preserve">Don't wait until the leak gets worse.</t>
  </si>
  <si>
    <t xml:space="preserve">✅ Redacted (brand logos)</t>
  </si>
  <si>
    <t xml:space="preserve">Phase 3 problem/solution – roofing focus</t>
  </si>
  <si>
    <t xml:space="preserve">BP_Customers_PavingTiling_RoadsideSign_01</t>
  </si>
  <si>
    <t xml:space="preserve">Plug A Pro - Paving Tiling Renovations Sign_1080x1350.jpg</t>
  </si>
  <si>
    <t xml:space="preserve">Feed Portrait</t>
  </si>
  <si>
    <t xml:space="preserve">1080x1350</t>
  </si>
  <si>
    <t xml:space="preserve">Need paving, tiling or renovation work done?
Plug A Pro connects you with trusted local tradespeople in your area.</t>
  </si>
  <si>
    <t xml:space="preserve">Request Service</t>
  </si>
  <si>
    <t xml:space="preserve">Book local skills through Plug A Pro.</t>
  </si>
  <si>
    <t xml:space="preserve">Portrait format – Phase 4 trust/range</t>
  </si>
  <si>
    <t xml:space="preserve">BP_Customers_CeilingDrywall_RoadsideSign_01</t>
  </si>
  <si>
    <t xml:space="preserve">Plug A Pro - Ceiling Drywall Painting Sign_1080x1080.jpg</t>
  </si>
  <si>
    <t xml:space="preserve">Need ceiling, drywall or painting work? Plug A Pro connects you with skilled local tradespeople fast.
Tell us what needs doing.</t>
  </si>
  <si>
    <t xml:space="preserve">Local skills. Digital demand.</t>
  </si>
  <si>
    <t xml:space="preserve">Phase 4 – additional customer creative</t>
  </si>
  <si>
    <t xml:space="preserve">BP_Providers_Trades_RoadsideSign_01</t>
  </si>
  <si>
    <t xml:space="preserve">BP_30D_ProviderOnboarding_JHB</t>
  </si>
  <si>
    <t xml:space="preserve">AdSet1_SkilledTrades_Core</t>
  </si>
  <si>
    <t xml:space="preserve">Plug A Pro - Plumber Electrician Carpenter Sign 2_1080x1080.jpg</t>
  </si>
  <si>
    <t xml:space="preserve">Get Found Online</t>
  </si>
  <si>
    <t xml:space="preserve">You already have the skill. Plug A Pro helps you get seen by more customers online.
If you are a plumber, electrician, carpenter, painter, tiler or handyman, register today.</t>
  </si>
  <si>
    <t xml:space="preserve">Sign Up</t>
  </si>
  <si>
    <t xml:space="preserve">Your skills deserve more than passing traffic.</t>
  </si>
  <si>
    <t xml:space="preserve">✅ Redacted (ITD Builder)</t>
  </si>
  <si>
    <t xml:space="preserve">bp_30d_onboarding</t>
  </si>
  <si>
    <t xml:space="preserve">Primary provider ad – Phase 2 launch</t>
  </si>
  <si>
    <t xml:space="preserve">BP_Providers_Trades_RoadsideSign_02</t>
  </si>
  <si>
    <t xml:space="preserve">Plug A Pro - Handyman Painter Tiler Sign 2_1080x1080.jpg</t>
  </si>
  <si>
    <t xml:space="preserve">Turn Your Skill Into Leads</t>
  </si>
  <si>
    <t xml:space="preserve">A roadside sign can only reach people who drive past.
Plug A Pro helps skilled service providers receive digital customer enquiries.
Register your trade and service area.</t>
  </si>
  <si>
    <t xml:space="preserve">Still waiting for customers to drive past your sign?</t>
  </si>
  <si>
    <t xml:space="preserve">✅ Redacted (Stone Tile)</t>
  </si>
  <si>
    <t xml:space="preserve">Phase 3 – roadside vs digital messaging</t>
  </si>
  <si>
    <t xml:space="preserve">BP_Providers_Trades_RoadsideSign_02_Story</t>
  </si>
  <si>
    <t xml:space="preserve">Plug A Pro - Handyman Painter Tiler Sign 2_1080x1920.jpg</t>
  </si>
  <si>
    <t xml:space="preserve">Still waiting for customers to drive past your sign? Join Plug A Pro.</t>
  </si>
  <si>
    <t xml:space="preserve">Get found by customers online.</t>
  </si>
  <si>
    <t xml:space="preserve">Story format – Phase 3</t>
  </si>
  <si>
    <t xml:space="preserve">BP_Providers_OutdoorServices_RoadsideSign_01</t>
  </si>
  <si>
    <t xml:space="preserve">AdSet2_OutdoorProperty_Services</t>
  </si>
  <si>
    <t xml:space="preserve">Plug A Pro - Welder Gate Motor Burglar Bars Sign 1_1080x1080.jpg</t>
  </si>
  <si>
    <t xml:space="preserve">Join Plug A Pro</t>
  </si>
  <si>
    <t xml:space="preserve">Skilled with your hands?
Plug A Pro is onboarding local service providers: welding, gate motors, burglar bars, roofing, waterproofing, gutters, paving &amp; renovations.
Join the network.</t>
  </si>
  <si>
    <t xml:space="preserve">Plug A Pro helps local service providers get discovered online.</t>
  </si>
  <si>
    <t xml:space="preserve">Phase 2 – outdoor trades focus</t>
  </si>
  <si>
    <t xml:space="preserve">BP_Providers_RoofingGutters_RoadsideSign_02</t>
  </si>
  <si>
    <t xml:space="preserve">Plug A Pro - Roofing Waterproofing Gutters Sign 2_1080x1080.jpg</t>
  </si>
  <si>
    <t xml:space="preserve">If you do roofing, waterproofing or gutters, Plug A Pro can help customers find you online.
Register your trade and area today.</t>
  </si>
  <si>
    <t xml:space="preserve">Turn your trade into digital leads.</t>
  </si>
  <si>
    <t xml:space="preserve">Phase 4 – roofing/outdoor provider</t>
  </si>
  <si>
    <t xml:space="preserve">BP_Providers_WelderBurglarBars_BuildingMaterials_01</t>
  </si>
  <si>
    <t xml:space="preserve">Plug A Pro - Welder Gate Motor Burglar Bars Sign 2_1080x1080.jpg</t>
  </si>
  <si>
    <t xml:space="preserve">Your skills are in demand. Plug A Pro connects welders, gate motor specialists and security installers with customers looking for you online.
Join the network.</t>
  </si>
  <si>
    <t xml:space="preserve">Skilled trades deserve better visibility.</t>
  </si>
  <si>
    <t xml:space="preserve">✅ Redacted (phone number)</t>
  </si>
  <si>
    <t xml:space="preserve">Phase 3/4 – building materials backdrop adds context</t>
  </si>
  <si>
    <t xml:space="preserve">PLUG A PRO — DAILY CAMPAIGN PERFORMANCE TRACKER</t>
  </si>
  <si>
    <t xml:space="preserve">Date</t>
  </si>
  <si>
    <t xml:space="preserve">Day #</t>
  </si>
  <si>
    <t xml:space="preserve">Ad Name</t>
  </si>
  <si>
    <t xml:space="preserve">Creative Used</t>
  </si>
  <si>
    <t xml:space="preserve">Impressions</t>
  </si>
  <si>
    <t xml:space="preserve">Reach</t>
  </si>
  <si>
    <t xml:space="preserve">Clicks</t>
  </si>
  <si>
    <t xml:space="preserve">CTR (%)</t>
  </si>
  <si>
    <t xml:space="preserve">Spend (R)</t>
  </si>
  <si>
    <t xml:space="preserve">Leads</t>
  </si>
  <si>
    <t xml:space="preserve">Cost/Lead (R)</t>
  </si>
  <si>
    <t xml:space="preserve">WhatsApp Conv.</t>
  </si>
  <si>
    <t xml:space="preserve">Notes / Action</t>
  </si>
  <si>
    <t xml:space="preserve">01 May 2026</t>
  </si>
  <si>
    <t xml:space="preserve">02 May 2026</t>
  </si>
  <si>
    <t xml:space="preserve">03 May 2026</t>
  </si>
  <si>
    <t xml:space="preserve">04 May 2026</t>
  </si>
  <si>
    <t xml:space="preserve">05 May 2026</t>
  </si>
  <si>
    <t xml:space="preserve">06 May 2026</t>
  </si>
  <si>
    <t xml:space="preserve">07 May 2026</t>
  </si>
  <si>
    <t xml:space="preserve">08 May 2026</t>
  </si>
  <si>
    <t xml:space="preserve">09 May 2026</t>
  </si>
  <si>
    <t xml:space="preserve">10 May 2026</t>
  </si>
  <si>
    <t xml:space="preserve">11 May 2026</t>
  </si>
  <si>
    <t xml:space="preserve">12 May 2026</t>
  </si>
  <si>
    <t xml:space="preserve">13 May 2026</t>
  </si>
  <si>
    <t xml:space="preserve">14 May 2026</t>
  </si>
  <si>
    <t xml:space="preserve">15 May 2026</t>
  </si>
  <si>
    <t xml:space="preserve">16 May 2026</t>
  </si>
  <si>
    <t xml:space="preserve">17 May 2026</t>
  </si>
  <si>
    <t xml:space="preserve">18 May 2026</t>
  </si>
  <si>
    <t xml:space="preserve">19 May 2026</t>
  </si>
  <si>
    <t xml:space="preserve">20 May 2026</t>
  </si>
  <si>
    <t xml:space="preserve">21 May 2026</t>
  </si>
  <si>
    <t xml:space="preserve">22 May 2026</t>
  </si>
  <si>
    <t xml:space="preserve">23 May 2026</t>
  </si>
  <si>
    <t xml:space="preserve">24 May 2026</t>
  </si>
  <si>
    <t xml:space="preserve">25 May 2026</t>
  </si>
  <si>
    <t xml:space="preserve">26 May 2026</t>
  </si>
  <si>
    <t xml:space="preserve">27 May 2026</t>
  </si>
  <si>
    <t xml:space="preserve">28 May 2026</t>
  </si>
  <si>
    <t xml:space="preserve">29 May 2026</t>
  </si>
  <si>
    <t xml:space="preserve">30 May 2026</t>
  </si>
  <si>
    <t xml:space="preserve">30-DAY TOTALS</t>
  </si>
  <si>
    <t xml:space="preserve">Update CPL benchmark: target &lt; R25/lead (customer) | &lt; R35/lead (provider)</t>
  </si>
  <si>
    <t xml:space="preserve">PLUG A PRO — LEAD FORM SPECIFICATIONS</t>
  </si>
  <si>
    <t xml:space="preserve">FORM 1: Plug A Pro Service Request (Customer Lead Form)</t>
  </si>
  <si>
    <t xml:space="preserve">#</t>
  </si>
  <si>
    <t xml:space="preserve">Field Name</t>
  </si>
  <si>
    <t xml:space="preserve">Field Type</t>
  </si>
  <si>
    <t xml:space="preserve">Required?</t>
  </si>
  <si>
    <t xml:space="preserve">Options / Placeholder</t>
  </si>
  <si>
    <t xml:space="preserve">Compliance Note</t>
  </si>
  <si>
    <t xml:space="preserve">Meta Form Element</t>
  </si>
  <si>
    <t xml:space="preserve">Full Name</t>
  </si>
  <si>
    <t xml:space="preserve">Short answer</t>
  </si>
  <si>
    <t xml:space="preserve">Yes</t>
  </si>
  <si>
    <t xml:space="preserve">e.g. Thabo Nkosi</t>
  </si>
  <si>
    <t xml:space="preserve">No sensitive info</t>
  </si>
  <si>
    <t xml:space="preserve">FIRST_NAME + LAST_NAME</t>
  </si>
  <si>
    <t xml:space="preserve">WhatsApp Number</t>
  </si>
  <si>
    <t xml:space="preserve">Phone</t>
  </si>
  <si>
    <t xml:space="preserve">e.g. 082 XXX XXXX</t>
  </si>
  <si>
    <t xml:space="preserve">SA format; no ID</t>
  </si>
  <si>
    <t xml:space="preserve">PHONE</t>
  </si>
  <si>
    <t xml:space="preserve">Service Needed</t>
  </si>
  <si>
    <t xml:space="preserve">Dropdown</t>
  </si>
  <si>
    <t xml:space="preserve">Plumbing | Electrical | Handyman | Painting | Tiling | Welding | Roofing | Waterproofing | Gutters | Paving | Renovations | Other</t>
  </si>
  <si>
    <t xml:space="preserve">Generic trade list</t>
  </si>
  <si>
    <t xml:space="preserve">Custom dropdown</t>
  </si>
  <si>
    <t xml:space="preserve">Suburb / Area</t>
  </si>
  <si>
    <t xml:space="preserve">e.g. Soweto, Randburg</t>
  </si>
  <si>
    <t xml:space="preserve">No GPS required</t>
  </si>
  <si>
    <t xml:space="preserve">Custom field</t>
  </si>
  <si>
    <t xml:space="preserve">When do you need help?</t>
  </si>
  <si>
    <t xml:space="preserve">ASAP | This week | This month | Just getting a quote</t>
  </si>
  <si>
    <t xml:space="preserve">No personal info</t>
  </si>
  <si>
    <t xml:space="preserve">Short description of the issue</t>
  </si>
  <si>
    <t xml:space="preserve">Long answer</t>
  </si>
  <si>
    <t xml:space="preserve">No</t>
  </si>
  <si>
    <t xml:space="preserve">e.g. Leaking pipe under kitchen sink</t>
  </si>
  <si>
    <t xml:space="preserve">Free text — no sensitive data required</t>
  </si>
  <si>
    <t xml:space="preserve">Privacy disclaimer: 'By submitting this form, you agree that Plug A Pro may contact you via WhatsApp regarding your service request. We do not share your details with third parties without consent.'</t>
  </si>
  <si>
    <t xml:space="preserve">FORM 2: Plug A Pro Provider Sign-Up (Provider Onboarding Lead Form)</t>
  </si>
  <si>
    <t xml:space="preserve">e.g. Sipho Dlamini</t>
  </si>
  <si>
    <t xml:space="preserve">No race/age/ID</t>
  </si>
  <si>
    <t xml:space="preserve">e.g. 073 XXX XXXX</t>
  </si>
  <si>
    <t xml:space="preserve">SA format</t>
  </si>
  <si>
    <t xml:space="preserve">Main Trade / Skill</t>
  </si>
  <si>
    <t xml:space="preserve">Plumber | Electrician | Carpenter | Painter | Tiler | Welder | Handyman | Roofer | Waterproofer | Gate Motor Tech | Paving | Other</t>
  </si>
  <si>
    <t xml:space="preserve">No income targeting</t>
  </si>
  <si>
    <t xml:space="preserve">Other Services Offered</t>
  </si>
  <si>
    <t xml:space="preserve">e.g. Tiling and waterproofing</t>
  </si>
  <si>
    <t xml:space="preserve">Free text — no income info</t>
  </si>
  <si>
    <t xml:space="preserve">Area / Suburb Served</t>
  </si>
  <si>
    <t xml:space="preserve">e.g. Soweto, Midrand, East Rand</t>
  </si>
  <si>
    <t xml:space="preserve">Do you have your own tools?</t>
  </si>
  <si>
    <t xml:space="preserve">Single choice</t>
  </si>
  <si>
    <t xml:space="preserve">Yes | No</t>
  </si>
  <si>
    <t xml:space="preserve">Custom Yes/No</t>
  </si>
  <si>
    <t xml:space="preserve">Available for jobs this week?</t>
  </si>
  <si>
    <t xml:space="preserve">No income/employment assumption</t>
  </si>
  <si>
    <t xml:space="preserve">Short description of your experience</t>
  </si>
  <si>
    <t xml:space="preserve">e.g. 8 years plumbing — residential and commercial</t>
  </si>
  <si>
    <t xml:space="preserve">Free text; no race/income</t>
  </si>
  <si>
    <t xml:space="preserve">⚠️  IMPORTANT: Do NOT ask for race, age, ID number, income level, or employment status. This form is for service registration only.</t>
  </si>
  <si>
    <t xml:space="preserve">PLUG A PRO — BUDGET OPTIONS &amp; UTM TRACKING</t>
  </si>
  <si>
    <t xml:space="preserve">BUDGET OPTIONS (PLACEHOLDER — REQUIRES APPROVAL BEFORE PUBLISHING)</t>
  </si>
  <si>
    <t xml:space="preserve">Option</t>
  </si>
  <si>
    <t xml:space="preserve">Daily Budget (R)</t>
  </si>
  <si>
    <t xml:space="preserve">Customer Leads/day</t>
  </si>
  <si>
    <t xml:space="preserve">Provider Onboarding/day</t>
  </si>
  <si>
    <t xml:space="preserve">30-Day Total (R)</t>
  </si>
  <si>
    <t xml:space="preserve">Est. Leads @ R25 CPL</t>
  </si>
  <si>
    <t xml:space="preserve">Est. Leads @ R35 CPL</t>
  </si>
  <si>
    <t xml:space="preserve">Option A — Conservative</t>
  </si>
  <si>
    <t xml:space="preserve">150</t>
  </si>
  <si>
    <t xml:space="preserve">90</t>
  </si>
  <si>
    <t xml:space="preserve">60</t>
  </si>
  <si>
    <t xml:space="preserve">Recommended pilot; low risk; good for learning phase</t>
  </si>
  <si>
    <t xml:space="preserve">Option B — Stronger Test</t>
  </si>
  <si>
    <t xml:space="preserve">300</t>
  </si>
  <si>
    <t xml:space="preserve">180</t>
  </si>
  <si>
    <t xml:space="preserve">120</t>
  </si>
  <si>
    <t xml:space="preserve">Faster learning; better reach; increase after Day 7 if CPL is healthy</t>
  </si>
  <si>
    <t xml:space="preserve">APPROVED BUDGET</t>
  </si>
  <si>
    <t xml:space="preserve">⚠️ TBC</t>
  </si>
  <si>
    <t xml:space="preserve">—</t>
  </si>
  <si>
    <t xml:space="preserve">Enter approved budget here before publishing</t>
  </si>
  <si>
    <t xml:space="preserve">UTM TRACKING PARAMETERS</t>
  </si>
  <si>
    <t xml:space="preserve">Parameter</t>
  </si>
  <si>
    <t xml:space="preserve">Value (Customer Leads)</t>
  </si>
  <si>
    <t xml:space="preserve">Value (Provider Onboarding)</t>
  </si>
  <si>
    <t xml:space="preserve">utm_source</t>
  </si>
  <si>
    <t xml:space="preserve">meta</t>
  </si>
  <si>
    <t xml:space="preserve">Always 'meta' for Meta Ads</t>
  </si>
  <si>
    <t xml:space="preserve">utm_medium</t>
  </si>
  <si>
    <t xml:space="preserve">paid_social</t>
  </si>
  <si>
    <t xml:space="preserve">Consistent across both campaigns</t>
  </si>
  <si>
    <t xml:space="preserve">utm_campaign</t>
  </si>
  <si>
    <t xml:space="preserve">Different per campaign objective</t>
  </si>
  <si>
    <t xml:space="preserve">utm_content</t>
  </si>
  <si>
    <t xml:space="preserve">[creative_name]</t>
  </si>
  <si>
    <t xml:space="preserve">Use ad naming convention e.g. BP_Customers_PlumbingElectrical_RoadsideSign_01</t>
  </si>
  <si>
    <t xml:space="preserve">utm_term</t>
  </si>
  <si>
    <t xml:space="preserve">(optional)</t>
  </si>
  <si>
    <t xml:space="preserve">Only if keyword targeting is used</t>
  </si>
  <si>
    <t xml:space="preserve">NAMING CONVENTIONS</t>
  </si>
  <si>
    <t xml:space="preserve">Campaign naming</t>
  </si>
  <si>
    <t xml:space="preserve">BP_30D_CustomerLeads_JHB_[StartDate] | BP_30D_ProviderOnboarding_JHB_[StartDate]</t>
  </si>
  <si>
    <t xml:space="preserve">Ad Set naming</t>
  </si>
  <si>
    <t xml:space="preserve">AdSet1_HomeRepairs_PlumbElec | AdSet2_PropertyMaint_Roofing | AdSet1_SkilledTrades_Core | AdSet2_OutdoorProperty_Services</t>
  </si>
  <si>
    <t xml:space="preserve">Ad naming</t>
  </si>
  <si>
    <t xml:space="preserve">BP_[Audience]_[ServiceTheme]_[CreativeType]_[##] e.g. BP_Customers_PlumbingElectrical_RoadsideSign_01</t>
  </si>
  <si>
    <t xml:space="preserve">Image file naming</t>
  </si>
  <si>
    <t xml:space="preserve">[OriginalName]_[Width]x[Height].jpg e.g. Plug A Pro - Plumber Electrician Carpenter Sign 1_1080x1080.jpg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</si>
</sst>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2E7D32"/>
      <name val="Arial"/>
      <family val="0"/>
      <charset val="1"/>
    </font>
    <font>
      <sz val="9"/>
      <color rgb="FFE65100"/>
      <name val="Arial"/>
      <family val="0"/>
      <charset val="1"/>
    </font>
    <font>
      <sz val="9"/>
      <color rgb="FF000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444444"/>
      <name val="Arial"/>
      <family val="0"/>
      <charset val="1"/>
    </font>
    <font>
      <b val="true"/>
      <sz val="9"/>
      <color rgb="FFD62B2B"/>
      <name val="Arial"/>
      <family val="0"/>
      <charset val="1"/>
    </font>
    <font>
      <b val="true"/>
      <sz val="9"/>
      <color rgb="FFE651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D62B2B"/>
        <bgColor rgb="FFE65100"/>
      </patternFill>
    </fill>
    <fill>
      <patternFill patternType="solid">
        <fgColor rgb="FF1A1A1A"/>
        <bgColor rgb="FF003300"/>
      </patternFill>
    </fill>
    <fill>
      <patternFill patternType="solid">
        <fgColor rgb="FF444444"/>
        <bgColor rgb="FF333399"/>
      </patternFill>
    </fill>
    <fill>
      <patternFill patternType="solid">
        <fgColor rgb="FFF5F5F5"/>
        <bgColor rgb="FFEEF2FF"/>
      </patternFill>
    </fill>
    <fill>
      <patternFill patternType="solid">
        <fgColor rgb="FFFFF8E1"/>
        <bgColor rgb="FFF5F5F5"/>
      </patternFill>
    </fill>
    <fill>
      <patternFill patternType="solid">
        <fgColor rgb="FFECE4E4"/>
        <bgColor rgb="FFF3E5F5"/>
      </patternFill>
    </fill>
    <fill>
      <patternFill patternType="solid">
        <fgColor rgb="FFE8F5E9"/>
        <bgColor rgb="FFEEEEEE"/>
      </patternFill>
    </fill>
    <fill>
      <patternFill patternType="solid">
        <fgColor rgb="FFE3F2FD"/>
        <bgColor rgb="FFEEF2FF"/>
      </patternFill>
    </fill>
    <fill>
      <patternFill patternType="solid">
        <fgColor rgb="FFF3E5F5"/>
        <bgColor rgb="FFECE4E4"/>
      </patternFill>
    </fill>
    <fill>
      <patternFill patternType="solid">
        <fgColor rgb="FFEEEEEE"/>
        <bgColor rgb="FFEEF2FF"/>
      </patternFill>
    </fill>
    <fill>
      <patternFill patternType="solid">
        <fgColor rgb="FFEEF2FF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3F2FD"/>
      <rgbColor rgb="FF660066"/>
      <rgbColor rgb="FFFF8080"/>
      <rgbColor rgb="FF0066CC"/>
      <rgbColor rgb="FFEC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EEEEE"/>
      <rgbColor rgb="FFF5F5F5"/>
      <rgbColor rgb="FFEEF2FF"/>
      <rgbColor rgb="FFFF99CC"/>
      <rgbColor rgb="FFCC99FF"/>
      <rgbColor rgb="FFF3E5F5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03366"/>
      <rgbColor rgb="FF2E7D32"/>
      <rgbColor rgb="FF003300"/>
      <rgbColor rgb="FF1A1A1A"/>
      <rgbColor rgb="FFD62B2B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6" min="5" style="0" width="35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9.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19.5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19.5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 customFormat="false" ht="19.5" hidden="false" customHeight="true" outlineLevel="0" collapsed="false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  <c r="J8" s="5"/>
      <c r="K8" s="5"/>
      <c r="L8" s="5"/>
    </row>
    <row r="9" customFormat="false" ht="19.5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  <c r="J9" s="5"/>
      <c r="K9" s="5"/>
      <c r="L9" s="5"/>
    </row>
    <row r="10" customFormat="false" ht="19.5" hidden="false" customHeight="true" outlineLevel="0" collapsed="false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  <c r="J10" s="5"/>
      <c r="K10" s="5"/>
      <c r="L10" s="5"/>
    </row>
    <row r="11" customFormat="false" ht="19.5" hidden="false" customHeight="true" outlineLevel="0" collapsed="false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  <c r="J11" s="5"/>
      <c r="K11" s="5"/>
      <c r="L11" s="5"/>
    </row>
    <row r="12" customFormat="false" ht="19.5" hidden="false" customHeight="true" outlineLevel="0" collapsed="false">
      <c r="A12" s="4" t="s">
        <v>17</v>
      </c>
      <c r="B12" s="5" t="s">
        <v>18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customFormat="false" ht="19.5" hidden="false" customHeight="true" outlineLevel="0" collapsed="false">
      <c r="A13" s="4" t="s">
        <v>19</v>
      </c>
      <c r="B13" s="5" t="s">
        <v>20</v>
      </c>
      <c r="C13" s="5"/>
      <c r="D13" s="5"/>
      <c r="E13" s="5"/>
      <c r="F13" s="5"/>
      <c r="G13" s="5"/>
      <c r="H13" s="5"/>
      <c r="I13" s="5"/>
      <c r="J13" s="5"/>
      <c r="K13" s="5"/>
      <c r="L13" s="5"/>
    </row>
    <row r="14" customFormat="false" ht="19.5" hidden="false" customHeight="true" outlineLevel="0" collapsed="false">
      <c r="A14" s="4" t="s">
        <v>21</v>
      </c>
      <c r="B14" s="6" t="s">
        <v>22</v>
      </c>
      <c r="C14" s="6"/>
      <c r="D14" s="6"/>
      <c r="E14" s="6"/>
      <c r="F14" s="6"/>
      <c r="G14" s="6"/>
      <c r="H14" s="6"/>
      <c r="I14" s="6"/>
      <c r="J14" s="6"/>
      <c r="K14" s="6"/>
      <c r="L14" s="6"/>
    </row>
    <row r="15" customFormat="false" ht="19.5" hidden="false" customHeight="true" outlineLevel="0" collapsed="false">
      <c r="A15" s="4" t="s">
        <v>23</v>
      </c>
      <c r="B15" s="6" t="s">
        <v>24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19.5" hidden="false" customHeight="true" outlineLevel="0" collapsed="false">
      <c r="A16" s="4" t="s">
        <v>25</v>
      </c>
      <c r="B16" s="6" t="s">
        <v>26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19.5" hidden="false" customHeight="true" outlineLevel="0" collapsed="false">
      <c r="A17" s="4" t="s">
        <v>27</v>
      </c>
      <c r="B17" s="5" t="s">
        <v>28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customFormat="false" ht="19.5" hidden="false" customHeight="true" outlineLevel="0" collapsed="false">
      <c r="A18" s="4" t="s">
        <v>29</v>
      </c>
      <c r="B18" s="5" t="s">
        <v>30</v>
      </c>
      <c r="C18" s="5"/>
      <c r="D18" s="5"/>
      <c r="E18" s="5"/>
      <c r="F18" s="5"/>
      <c r="G18" s="5"/>
      <c r="H18" s="5"/>
      <c r="I18" s="5"/>
      <c r="J18" s="5"/>
      <c r="K18" s="5"/>
      <c r="L18" s="5"/>
    </row>
    <row r="20" customFormat="false" ht="21.75" hidden="false" customHeight="true" outlineLevel="0" collapsed="false">
      <c r="A20" s="3" t="s">
        <v>31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30" hidden="false" customHeight="true" outlineLevel="0" collapsed="false">
      <c r="A21" s="7" t="s">
        <v>32</v>
      </c>
      <c r="B21" s="7" t="s">
        <v>33</v>
      </c>
      <c r="C21" s="7" t="s">
        <v>34</v>
      </c>
      <c r="D21" s="7" t="s">
        <v>35</v>
      </c>
      <c r="E21" s="7" t="s">
        <v>36</v>
      </c>
      <c r="F21" s="7" t="s">
        <v>37</v>
      </c>
    </row>
    <row r="22" customFormat="false" ht="45" hidden="false" customHeight="true" outlineLevel="0" collapsed="false">
      <c r="A22" s="8" t="s">
        <v>38</v>
      </c>
      <c r="B22" s="9" t="s">
        <v>39</v>
      </c>
      <c r="C22" s="9" t="s">
        <v>40</v>
      </c>
      <c r="D22" s="9" t="s">
        <v>41</v>
      </c>
      <c r="E22" s="9" t="s">
        <v>42</v>
      </c>
      <c r="F22" s="9" t="s">
        <v>43</v>
      </c>
    </row>
    <row r="23" customFormat="false" ht="45" hidden="false" customHeight="true" outlineLevel="0" collapsed="false">
      <c r="A23" s="10" t="s">
        <v>44</v>
      </c>
      <c r="B23" s="11" t="s">
        <v>45</v>
      </c>
      <c r="C23" s="11" t="s">
        <v>46</v>
      </c>
      <c r="D23" s="11" t="s">
        <v>47</v>
      </c>
      <c r="E23" s="11" t="s">
        <v>48</v>
      </c>
      <c r="F23" s="11" t="s">
        <v>49</v>
      </c>
    </row>
    <row r="24" customFormat="false" ht="45" hidden="false" customHeight="true" outlineLevel="0" collapsed="false">
      <c r="A24" s="12" t="s">
        <v>50</v>
      </c>
      <c r="B24" s="13" t="s">
        <v>51</v>
      </c>
      <c r="C24" s="13" t="s">
        <v>52</v>
      </c>
      <c r="D24" s="13" t="s">
        <v>53</v>
      </c>
      <c r="E24" s="13" t="s">
        <v>54</v>
      </c>
      <c r="F24" s="13" t="s">
        <v>55</v>
      </c>
    </row>
    <row r="25" customFormat="false" ht="45" hidden="false" customHeight="true" outlineLevel="0" collapsed="false">
      <c r="A25" s="14" t="s">
        <v>56</v>
      </c>
      <c r="B25" s="15" t="s">
        <v>57</v>
      </c>
      <c r="C25" s="15" t="s">
        <v>58</v>
      </c>
      <c r="D25" s="15" t="s">
        <v>59</v>
      </c>
      <c r="E25" s="15" t="s">
        <v>60</v>
      </c>
      <c r="F25" s="15" t="s">
        <v>61</v>
      </c>
    </row>
    <row r="26" customFormat="false" ht="45" hidden="false" customHeight="true" outlineLevel="0" collapsed="false">
      <c r="A26" s="16" t="s">
        <v>62</v>
      </c>
      <c r="B26" s="17" t="s">
        <v>63</v>
      </c>
      <c r="C26" s="17" t="s">
        <v>64</v>
      </c>
      <c r="D26" s="17" t="s">
        <v>65</v>
      </c>
      <c r="E26" s="17" t="s">
        <v>66</v>
      </c>
      <c r="F26" s="17" t="s">
        <v>67</v>
      </c>
    </row>
    <row r="28" customFormat="false" ht="21.75" hidden="false" customHeight="true" outlineLevel="0" collapsed="false">
      <c r="A28" s="3" t="s">
        <v>68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Format="false" ht="30" hidden="false" customHeight="true" outlineLevel="0" collapsed="false">
      <c r="A29" s="7" t="s">
        <v>69</v>
      </c>
      <c r="B29" s="7" t="s">
        <v>70</v>
      </c>
    </row>
    <row r="30" customFormat="false" ht="18" hidden="false" customHeight="true" outlineLevel="0" collapsed="false">
      <c r="A30" s="18" t="s">
        <v>71</v>
      </c>
      <c r="B30" s="19" t="s">
        <v>72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customFormat="false" ht="18" hidden="false" customHeight="true" outlineLevel="0" collapsed="false">
      <c r="A31" s="18" t="s">
        <v>71</v>
      </c>
      <c r="B31" s="19" t="s">
        <v>73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customFormat="false" ht="18" hidden="false" customHeight="true" outlineLevel="0" collapsed="false">
      <c r="A32" s="18" t="s">
        <v>71</v>
      </c>
      <c r="B32" s="19" t="s">
        <v>74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customFormat="false" ht="18" hidden="false" customHeight="true" outlineLevel="0" collapsed="false">
      <c r="A33" s="18" t="s">
        <v>71</v>
      </c>
      <c r="B33" s="19" t="s">
        <v>75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customFormat="false" ht="18" hidden="false" customHeight="true" outlineLevel="0" collapsed="false">
      <c r="A34" s="18" t="s">
        <v>71</v>
      </c>
      <c r="B34" s="19" t="s">
        <v>76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customFormat="false" ht="18" hidden="false" customHeight="true" outlineLevel="0" collapsed="false">
      <c r="A35" s="18" t="s">
        <v>71</v>
      </c>
      <c r="B35" s="19" t="s">
        <v>77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6" customFormat="false" ht="18" hidden="false" customHeight="true" outlineLevel="0" collapsed="false">
      <c r="A36" s="18" t="s">
        <v>71</v>
      </c>
      <c r="B36" s="19" t="s">
        <v>78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</row>
    <row r="37" customFormat="false" ht="18" hidden="false" customHeight="true" outlineLevel="0" collapsed="false">
      <c r="A37" s="18" t="s">
        <v>71</v>
      </c>
      <c r="B37" s="19" t="s">
        <v>79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customFormat="false" ht="18" hidden="false" customHeight="true" outlineLevel="0" collapsed="false">
      <c r="A38" s="20" t="s">
        <v>80</v>
      </c>
      <c r="B38" s="6" t="s">
        <v>81</v>
      </c>
      <c r="C38" s="6"/>
      <c r="D38" s="6"/>
      <c r="E38" s="6"/>
      <c r="F38" s="6"/>
      <c r="G38" s="6"/>
      <c r="H38" s="6"/>
      <c r="I38" s="6"/>
      <c r="J38" s="6"/>
      <c r="K38" s="6"/>
      <c r="L38" s="6"/>
    </row>
    <row r="39" customFormat="false" ht="18" hidden="false" customHeight="true" outlineLevel="0" collapsed="false">
      <c r="A39" s="20" t="s">
        <v>80</v>
      </c>
      <c r="B39" s="6" t="s">
        <v>82</v>
      </c>
      <c r="C39" s="6"/>
      <c r="D39" s="6"/>
      <c r="E39" s="6"/>
      <c r="F39" s="6"/>
      <c r="G39" s="6"/>
      <c r="H39" s="6"/>
      <c r="I39" s="6"/>
      <c r="J39" s="6"/>
      <c r="K39" s="6"/>
      <c r="L39" s="6"/>
    </row>
    <row r="40" customFormat="false" ht="18" hidden="false" customHeight="true" outlineLevel="0" collapsed="false">
      <c r="A40" s="20" t="s">
        <v>80</v>
      </c>
      <c r="B40" s="6" t="s">
        <v>83</v>
      </c>
      <c r="C40" s="6"/>
      <c r="D40" s="6"/>
      <c r="E40" s="6"/>
      <c r="F40" s="6"/>
      <c r="G40" s="6"/>
      <c r="H40" s="6"/>
      <c r="I40" s="6"/>
      <c r="J40" s="6"/>
      <c r="K40" s="6"/>
      <c r="L40" s="6"/>
    </row>
  </sheetData>
  <mergeCells count="30">
    <mergeCell ref="A1:L1"/>
    <mergeCell ref="A2:L2"/>
    <mergeCell ref="A4:L4"/>
    <mergeCell ref="B5:L5"/>
    <mergeCell ref="B6:L6"/>
    <mergeCell ref="B7:L7"/>
    <mergeCell ref="B8:L8"/>
    <mergeCell ref="B9:L9"/>
    <mergeCell ref="B10:L10"/>
    <mergeCell ref="B11:L11"/>
    <mergeCell ref="B12:L12"/>
    <mergeCell ref="B13:L13"/>
    <mergeCell ref="B14:L14"/>
    <mergeCell ref="B15:L15"/>
    <mergeCell ref="B16:L16"/>
    <mergeCell ref="B17:L17"/>
    <mergeCell ref="B18:L18"/>
    <mergeCell ref="A20:L20"/>
    <mergeCell ref="A28:L28"/>
    <mergeCell ref="B30:L30"/>
    <mergeCell ref="B31:L31"/>
    <mergeCell ref="B32:L32"/>
    <mergeCell ref="B33:L33"/>
    <mergeCell ref="B34:L34"/>
    <mergeCell ref="B35:L35"/>
    <mergeCell ref="B36:L36"/>
    <mergeCell ref="B37:L37"/>
    <mergeCell ref="B38:L38"/>
    <mergeCell ref="B39:L39"/>
    <mergeCell ref="B40:L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45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50"/>
    <col collapsed="false" customWidth="true" hidden="false" outlineLevel="0" max="9" min="9" style="0" width="20"/>
    <col collapsed="false" customWidth="true" hidden="false" outlineLevel="0" max="10" min="10" style="0" width="30"/>
    <col collapsed="false" customWidth="true" hidden="false" outlineLevel="0" max="11" min="11" style="0" width="14"/>
    <col collapsed="false" customWidth="true" hidden="false" outlineLevel="0" max="12" min="12" style="0" width="38"/>
    <col collapsed="false" customWidth="true" hidden="false" outlineLevel="0" max="13" min="13" style="0" width="12"/>
    <col collapsed="false" customWidth="true" hidden="false" outlineLevel="0" max="14" min="14" style="0" width="25"/>
  </cols>
  <sheetData>
    <row r="1" customFormat="false" ht="36" hidden="false" customHeight="true" outlineLevel="0" collapsed="false">
      <c r="A1" s="21" t="s">
        <v>84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7.5" hidden="false" customHeight="true" outlineLevel="0" collapsed="false"/>
    <row r="3" customFormat="false" ht="30" hidden="false" customHeight="true" outlineLevel="0" collapsed="false">
      <c r="A3" s="7" t="s">
        <v>85</v>
      </c>
      <c r="B3" s="7" t="s">
        <v>86</v>
      </c>
      <c r="C3" s="7" t="s">
        <v>87</v>
      </c>
      <c r="D3" s="7" t="s">
        <v>88</v>
      </c>
      <c r="E3" s="7" t="s">
        <v>89</v>
      </c>
      <c r="F3" s="7" t="s">
        <v>90</v>
      </c>
      <c r="G3" s="7" t="s">
        <v>91</v>
      </c>
      <c r="H3" s="7" t="s">
        <v>92</v>
      </c>
      <c r="I3" s="7" t="s">
        <v>93</v>
      </c>
      <c r="J3" s="7" t="s">
        <v>94</v>
      </c>
      <c r="K3" s="7" t="s">
        <v>95</v>
      </c>
      <c r="L3" s="7" t="s">
        <v>96</v>
      </c>
      <c r="M3" s="7" t="s">
        <v>69</v>
      </c>
      <c r="N3" s="7" t="s">
        <v>97</v>
      </c>
    </row>
    <row r="4" customFormat="false" ht="60" hidden="false" customHeight="true" outlineLevel="0" collapsed="false">
      <c r="A4" s="22" t="s">
        <v>98</v>
      </c>
      <c r="B4" s="22" t="s">
        <v>99</v>
      </c>
      <c r="C4" s="22" t="s">
        <v>100</v>
      </c>
      <c r="D4" s="22" t="s">
        <v>101</v>
      </c>
      <c r="E4" s="22" t="s">
        <v>102</v>
      </c>
      <c r="F4" s="22" t="s">
        <v>103</v>
      </c>
      <c r="G4" s="22" t="s">
        <v>104</v>
      </c>
      <c r="H4" s="22" t="s">
        <v>105</v>
      </c>
      <c r="I4" s="22" t="s">
        <v>14</v>
      </c>
      <c r="J4" s="22" t="s">
        <v>106</v>
      </c>
      <c r="K4" s="23" t="s">
        <v>107</v>
      </c>
      <c r="L4" s="22" t="s">
        <v>108</v>
      </c>
      <c r="M4" s="22" t="s">
        <v>109</v>
      </c>
      <c r="N4" s="22" t="s">
        <v>110</v>
      </c>
    </row>
    <row r="5" customFormat="false" ht="60" hidden="false" customHeight="true" outlineLevel="0" collapsed="false">
      <c r="A5" s="24" t="s">
        <v>111</v>
      </c>
      <c r="B5" s="24" t="s">
        <v>99</v>
      </c>
      <c r="C5" s="24" t="s">
        <v>100</v>
      </c>
      <c r="D5" s="24" t="s">
        <v>112</v>
      </c>
      <c r="E5" s="24" t="s">
        <v>113</v>
      </c>
      <c r="F5" s="24" t="s">
        <v>114</v>
      </c>
      <c r="G5" s="24" t="s">
        <v>104</v>
      </c>
      <c r="H5" s="24" t="s">
        <v>115</v>
      </c>
      <c r="I5" s="24" t="s">
        <v>14</v>
      </c>
      <c r="J5" s="24" t="s">
        <v>106</v>
      </c>
      <c r="K5" s="25" t="s">
        <v>107</v>
      </c>
      <c r="L5" s="24" t="s">
        <v>108</v>
      </c>
      <c r="M5" s="24" t="s">
        <v>109</v>
      </c>
      <c r="N5" s="24" t="s">
        <v>116</v>
      </c>
    </row>
    <row r="6" customFormat="false" ht="60" hidden="false" customHeight="true" outlineLevel="0" collapsed="false">
      <c r="A6" s="22" t="s">
        <v>117</v>
      </c>
      <c r="B6" s="22" t="s">
        <v>99</v>
      </c>
      <c r="C6" s="22" t="s">
        <v>100</v>
      </c>
      <c r="D6" s="22" t="s">
        <v>118</v>
      </c>
      <c r="E6" s="22" t="s">
        <v>102</v>
      </c>
      <c r="F6" s="22" t="s">
        <v>103</v>
      </c>
      <c r="G6" s="22" t="s">
        <v>119</v>
      </c>
      <c r="H6" s="22" t="s">
        <v>120</v>
      </c>
      <c r="I6" s="22" t="s">
        <v>121</v>
      </c>
      <c r="J6" s="22" t="s">
        <v>122</v>
      </c>
      <c r="K6" s="23" t="s">
        <v>107</v>
      </c>
      <c r="L6" s="22" t="s">
        <v>108</v>
      </c>
      <c r="M6" s="22" t="s">
        <v>109</v>
      </c>
      <c r="N6" s="22" t="s">
        <v>123</v>
      </c>
    </row>
    <row r="7" customFormat="false" ht="60" hidden="false" customHeight="true" outlineLevel="0" collapsed="false">
      <c r="A7" s="24" t="s">
        <v>124</v>
      </c>
      <c r="B7" s="24" t="s">
        <v>99</v>
      </c>
      <c r="C7" s="24" t="s">
        <v>125</v>
      </c>
      <c r="D7" s="24" t="s">
        <v>126</v>
      </c>
      <c r="E7" s="24" t="s">
        <v>102</v>
      </c>
      <c r="F7" s="24" t="s">
        <v>103</v>
      </c>
      <c r="G7" s="24" t="s">
        <v>119</v>
      </c>
      <c r="H7" s="24" t="s">
        <v>127</v>
      </c>
      <c r="I7" s="24" t="s">
        <v>121</v>
      </c>
      <c r="J7" s="24" t="s">
        <v>128</v>
      </c>
      <c r="K7" s="26" t="s">
        <v>129</v>
      </c>
      <c r="L7" s="24" t="s">
        <v>108</v>
      </c>
      <c r="M7" s="24" t="s">
        <v>109</v>
      </c>
      <c r="N7" s="24" t="s">
        <v>130</v>
      </c>
    </row>
    <row r="8" customFormat="false" ht="60" hidden="false" customHeight="true" outlineLevel="0" collapsed="false">
      <c r="A8" s="22" t="s">
        <v>131</v>
      </c>
      <c r="B8" s="22" t="s">
        <v>99</v>
      </c>
      <c r="C8" s="22" t="s">
        <v>125</v>
      </c>
      <c r="D8" s="22" t="s">
        <v>132</v>
      </c>
      <c r="E8" s="22" t="s">
        <v>133</v>
      </c>
      <c r="F8" s="22" t="s">
        <v>134</v>
      </c>
      <c r="G8" s="22" t="s">
        <v>104</v>
      </c>
      <c r="H8" s="22" t="s">
        <v>135</v>
      </c>
      <c r="I8" s="22" t="s">
        <v>136</v>
      </c>
      <c r="J8" s="22" t="s">
        <v>137</v>
      </c>
      <c r="K8" s="23" t="s">
        <v>107</v>
      </c>
      <c r="L8" s="22" t="s">
        <v>108</v>
      </c>
      <c r="M8" s="22" t="s">
        <v>109</v>
      </c>
      <c r="N8" s="22" t="s">
        <v>138</v>
      </c>
    </row>
    <row r="9" customFormat="false" ht="60" hidden="false" customHeight="true" outlineLevel="0" collapsed="false">
      <c r="A9" s="24" t="s">
        <v>139</v>
      </c>
      <c r="B9" s="24" t="s">
        <v>99</v>
      </c>
      <c r="C9" s="24" t="s">
        <v>125</v>
      </c>
      <c r="D9" s="24" t="s">
        <v>140</v>
      </c>
      <c r="E9" s="24" t="s">
        <v>102</v>
      </c>
      <c r="F9" s="24" t="s">
        <v>103</v>
      </c>
      <c r="G9" s="24" t="s">
        <v>119</v>
      </c>
      <c r="H9" s="24" t="s">
        <v>141</v>
      </c>
      <c r="I9" s="24" t="s">
        <v>121</v>
      </c>
      <c r="J9" s="24" t="s">
        <v>142</v>
      </c>
      <c r="K9" s="25" t="s">
        <v>107</v>
      </c>
      <c r="L9" s="24" t="s">
        <v>108</v>
      </c>
      <c r="M9" s="24" t="s">
        <v>109</v>
      </c>
      <c r="N9" s="24" t="s">
        <v>143</v>
      </c>
    </row>
    <row r="10" customFormat="false" ht="60" hidden="false" customHeight="true" outlineLevel="0" collapsed="false">
      <c r="A10" s="22" t="s">
        <v>144</v>
      </c>
      <c r="B10" s="22" t="s">
        <v>145</v>
      </c>
      <c r="C10" s="22" t="s">
        <v>146</v>
      </c>
      <c r="D10" s="22" t="s">
        <v>147</v>
      </c>
      <c r="E10" s="22" t="s">
        <v>102</v>
      </c>
      <c r="F10" s="22" t="s">
        <v>103</v>
      </c>
      <c r="G10" s="22" t="s">
        <v>148</v>
      </c>
      <c r="H10" s="22" t="s">
        <v>149</v>
      </c>
      <c r="I10" s="22" t="s">
        <v>150</v>
      </c>
      <c r="J10" s="22" t="s">
        <v>151</v>
      </c>
      <c r="K10" s="27" t="s">
        <v>152</v>
      </c>
      <c r="L10" s="22" t="s">
        <v>153</v>
      </c>
      <c r="M10" s="22" t="s">
        <v>109</v>
      </c>
      <c r="N10" s="22" t="s">
        <v>154</v>
      </c>
    </row>
    <row r="11" customFormat="false" ht="60" hidden="false" customHeight="true" outlineLevel="0" collapsed="false">
      <c r="A11" s="24" t="s">
        <v>155</v>
      </c>
      <c r="B11" s="24" t="s">
        <v>145</v>
      </c>
      <c r="C11" s="24" t="s">
        <v>146</v>
      </c>
      <c r="D11" s="24" t="s">
        <v>156</v>
      </c>
      <c r="E11" s="24" t="s">
        <v>102</v>
      </c>
      <c r="F11" s="24" t="s">
        <v>103</v>
      </c>
      <c r="G11" s="24" t="s">
        <v>157</v>
      </c>
      <c r="H11" s="24" t="s">
        <v>158</v>
      </c>
      <c r="I11" s="24" t="s">
        <v>150</v>
      </c>
      <c r="J11" s="24" t="s">
        <v>159</v>
      </c>
      <c r="K11" s="26" t="s">
        <v>160</v>
      </c>
      <c r="L11" s="24" t="s">
        <v>153</v>
      </c>
      <c r="M11" s="24" t="s">
        <v>109</v>
      </c>
      <c r="N11" s="24" t="s">
        <v>161</v>
      </c>
    </row>
    <row r="12" customFormat="false" ht="60" hidden="false" customHeight="true" outlineLevel="0" collapsed="false">
      <c r="A12" s="22" t="s">
        <v>162</v>
      </c>
      <c r="B12" s="22" t="s">
        <v>145</v>
      </c>
      <c r="C12" s="22" t="s">
        <v>146</v>
      </c>
      <c r="D12" s="22" t="s">
        <v>163</v>
      </c>
      <c r="E12" s="22" t="s">
        <v>113</v>
      </c>
      <c r="F12" s="22" t="s">
        <v>114</v>
      </c>
      <c r="G12" s="22" t="s">
        <v>157</v>
      </c>
      <c r="H12" s="22" t="s">
        <v>164</v>
      </c>
      <c r="I12" s="22" t="s">
        <v>150</v>
      </c>
      <c r="J12" s="22" t="s">
        <v>165</v>
      </c>
      <c r="K12" s="27" t="s">
        <v>160</v>
      </c>
      <c r="L12" s="22" t="s">
        <v>153</v>
      </c>
      <c r="M12" s="22" t="s">
        <v>109</v>
      </c>
      <c r="N12" s="22" t="s">
        <v>166</v>
      </c>
    </row>
    <row r="13" customFormat="false" ht="60" hidden="false" customHeight="true" outlineLevel="0" collapsed="false">
      <c r="A13" s="24" t="s">
        <v>167</v>
      </c>
      <c r="B13" s="24" t="s">
        <v>145</v>
      </c>
      <c r="C13" s="24" t="s">
        <v>168</v>
      </c>
      <c r="D13" s="24" t="s">
        <v>169</v>
      </c>
      <c r="E13" s="24" t="s">
        <v>102</v>
      </c>
      <c r="F13" s="24" t="s">
        <v>103</v>
      </c>
      <c r="G13" s="24" t="s">
        <v>170</v>
      </c>
      <c r="H13" s="24" t="s">
        <v>171</v>
      </c>
      <c r="I13" s="24" t="s">
        <v>150</v>
      </c>
      <c r="J13" s="24" t="s">
        <v>172</v>
      </c>
      <c r="K13" s="25" t="s">
        <v>107</v>
      </c>
      <c r="L13" s="24" t="s">
        <v>153</v>
      </c>
      <c r="M13" s="24" t="s">
        <v>109</v>
      </c>
      <c r="N13" s="24" t="s">
        <v>173</v>
      </c>
    </row>
    <row r="14" customFormat="false" ht="60" hidden="false" customHeight="true" outlineLevel="0" collapsed="false">
      <c r="A14" s="22" t="s">
        <v>174</v>
      </c>
      <c r="B14" s="22" t="s">
        <v>145</v>
      </c>
      <c r="C14" s="22" t="s">
        <v>168</v>
      </c>
      <c r="D14" s="22" t="s">
        <v>175</v>
      </c>
      <c r="E14" s="22" t="s">
        <v>102</v>
      </c>
      <c r="F14" s="22" t="s">
        <v>103</v>
      </c>
      <c r="G14" s="22" t="s">
        <v>148</v>
      </c>
      <c r="H14" s="22" t="s">
        <v>176</v>
      </c>
      <c r="I14" s="22" t="s">
        <v>150</v>
      </c>
      <c r="J14" s="22" t="s">
        <v>177</v>
      </c>
      <c r="K14" s="23" t="s">
        <v>107</v>
      </c>
      <c r="L14" s="22" t="s">
        <v>153</v>
      </c>
      <c r="M14" s="22" t="s">
        <v>109</v>
      </c>
      <c r="N14" s="22" t="s">
        <v>178</v>
      </c>
    </row>
    <row r="15" customFormat="false" ht="60" hidden="false" customHeight="true" outlineLevel="0" collapsed="false">
      <c r="A15" s="24" t="s">
        <v>179</v>
      </c>
      <c r="B15" s="24" t="s">
        <v>145</v>
      </c>
      <c r="C15" s="24" t="s">
        <v>168</v>
      </c>
      <c r="D15" s="24" t="s">
        <v>180</v>
      </c>
      <c r="E15" s="24" t="s">
        <v>102</v>
      </c>
      <c r="F15" s="24" t="s">
        <v>103</v>
      </c>
      <c r="G15" s="24" t="s">
        <v>170</v>
      </c>
      <c r="H15" s="24" t="s">
        <v>181</v>
      </c>
      <c r="I15" s="24" t="s">
        <v>150</v>
      </c>
      <c r="J15" s="24" t="s">
        <v>182</v>
      </c>
      <c r="K15" s="26" t="s">
        <v>183</v>
      </c>
      <c r="L15" s="24" t="s">
        <v>153</v>
      </c>
      <c r="M15" s="24" t="s">
        <v>109</v>
      </c>
      <c r="N15" s="24" t="s">
        <v>184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6" min="5" style="0" width="4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9" style="0" width="8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35"/>
  </cols>
  <sheetData>
    <row r="1" customFormat="false" ht="36" hidden="false" customHeight="true" outlineLevel="0" collapsed="false">
      <c r="A1" s="21" t="s">
        <v>185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customFormat="false" ht="7.5" hidden="false" customHeight="true" outlineLevel="0" collapsed="false"/>
    <row r="3" customFormat="false" ht="30" hidden="false" customHeight="true" outlineLevel="0" collapsed="false">
      <c r="A3" s="7" t="s">
        <v>186</v>
      </c>
      <c r="B3" s="7" t="s">
        <v>187</v>
      </c>
      <c r="C3" s="7" t="s">
        <v>86</v>
      </c>
      <c r="D3" s="7" t="s">
        <v>87</v>
      </c>
      <c r="E3" s="7" t="s">
        <v>188</v>
      </c>
      <c r="F3" s="7" t="s">
        <v>189</v>
      </c>
      <c r="G3" s="7" t="s">
        <v>190</v>
      </c>
      <c r="H3" s="7" t="s">
        <v>191</v>
      </c>
      <c r="I3" s="7" t="s">
        <v>192</v>
      </c>
      <c r="J3" s="7" t="s">
        <v>193</v>
      </c>
      <c r="K3" s="7" t="s">
        <v>194</v>
      </c>
      <c r="L3" s="7" t="s">
        <v>195</v>
      </c>
      <c r="M3" s="7" t="s">
        <v>196</v>
      </c>
      <c r="N3" s="7" t="s">
        <v>197</v>
      </c>
      <c r="O3" s="7" t="s">
        <v>198</v>
      </c>
    </row>
    <row r="4" customFormat="false" ht="18" hidden="false" customHeight="true" outlineLevel="0" collapsed="false">
      <c r="A4" s="28" t="s">
        <v>199</v>
      </c>
      <c r="B4" s="28" t="n">
        <v>1</v>
      </c>
      <c r="C4" s="29"/>
      <c r="D4" s="29"/>
      <c r="E4" s="29"/>
      <c r="F4" s="29"/>
      <c r="G4" s="29"/>
      <c r="H4" s="29"/>
      <c r="I4" s="29"/>
      <c r="J4" s="30" t="n">
        <f aca="false">IF(G4&gt;0,I4/G4*100,0)</f>
        <v>0</v>
      </c>
      <c r="K4" s="29"/>
      <c r="L4" s="29"/>
      <c r="M4" s="31" t="str">
        <f aca="false">IF(L4&gt;0,K4/L4,"-")</f>
        <v>-</v>
      </c>
      <c r="N4" s="29"/>
      <c r="O4" s="29"/>
    </row>
    <row r="5" customFormat="false" ht="18" hidden="false" customHeight="true" outlineLevel="0" collapsed="false">
      <c r="A5" s="28" t="s">
        <v>200</v>
      </c>
      <c r="B5" s="28" t="n">
        <v>2</v>
      </c>
      <c r="C5" s="29"/>
      <c r="D5" s="29"/>
      <c r="E5" s="29"/>
      <c r="F5" s="29"/>
      <c r="G5" s="29"/>
      <c r="H5" s="29"/>
      <c r="I5" s="29"/>
      <c r="J5" s="30" t="n">
        <f aca="false">IF(G5&gt;0,I5/G5*100,0)</f>
        <v>0</v>
      </c>
      <c r="K5" s="29"/>
      <c r="L5" s="29"/>
      <c r="M5" s="31" t="str">
        <f aca="false">IF(L5&gt;0,K5/L5,"-")</f>
        <v>-</v>
      </c>
      <c r="N5" s="29"/>
      <c r="O5" s="29"/>
    </row>
    <row r="6" customFormat="false" ht="18" hidden="false" customHeight="true" outlineLevel="0" collapsed="false">
      <c r="A6" s="28" t="s">
        <v>201</v>
      </c>
      <c r="B6" s="28" t="n">
        <v>3</v>
      </c>
      <c r="C6" s="29"/>
      <c r="D6" s="29"/>
      <c r="E6" s="29"/>
      <c r="F6" s="29"/>
      <c r="G6" s="29"/>
      <c r="H6" s="29"/>
      <c r="I6" s="29"/>
      <c r="J6" s="30" t="n">
        <f aca="false">IF(G6&gt;0,I6/G6*100,0)</f>
        <v>0</v>
      </c>
      <c r="K6" s="29"/>
      <c r="L6" s="29"/>
      <c r="M6" s="31" t="str">
        <f aca="false">IF(L6&gt;0,K6/L6,"-")</f>
        <v>-</v>
      </c>
      <c r="N6" s="29"/>
      <c r="O6" s="29"/>
    </row>
    <row r="7" customFormat="false" ht="18" hidden="false" customHeight="true" outlineLevel="0" collapsed="false">
      <c r="A7" s="28" t="s">
        <v>202</v>
      </c>
      <c r="B7" s="28" t="n">
        <v>4</v>
      </c>
      <c r="C7" s="29"/>
      <c r="D7" s="29"/>
      <c r="E7" s="29"/>
      <c r="F7" s="29"/>
      <c r="G7" s="29"/>
      <c r="H7" s="29"/>
      <c r="I7" s="29"/>
      <c r="J7" s="30" t="n">
        <f aca="false">IF(G7&gt;0,I7/G7*100,0)</f>
        <v>0</v>
      </c>
      <c r="K7" s="29"/>
      <c r="L7" s="29"/>
      <c r="M7" s="31" t="str">
        <f aca="false">IF(L7&gt;0,K7/L7,"-")</f>
        <v>-</v>
      </c>
      <c r="N7" s="29"/>
      <c r="O7" s="29"/>
    </row>
    <row r="8" customFormat="false" ht="18" hidden="false" customHeight="true" outlineLevel="0" collapsed="false">
      <c r="A8" s="28" t="s">
        <v>203</v>
      </c>
      <c r="B8" s="28" t="n">
        <v>5</v>
      </c>
      <c r="C8" s="29"/>
      <c r="D8" s="29"/>
      <c r="E8" s="29"/>
      <c r="F8" s="29"/>
      <c r="G8" s="29"/>
      <c r="H8" s="29"/>
      <c r="I8" s="29"/>
      <c r="J8" s="30" t="n">
        <f aca="false">IF(G8&gt;0,I8/G8*100,0)</f>
        <v>0</v>
      </c>
      <c r="K8" s="29"/>
      <c r="L8" s="29"/>
      <c r="M8" s="31" t="str">
        <f aca="false">IF(L8&gt;0,K8/L8,"-")</f>
        <v>-</v>
      </c>
      <c r="N8" s="29"/>
      <c r="O8" s="29"/>
    </row>
    <row r="9" customFormat="false" ht="18" hidden="false" customHeight="true" outlineLevel="0" collapsed="false">
      <c r="A9" s="28" t="s">
        <v>204</v>
      </c>
      <c r="B9" s="28" t="n">
        <v>6</v>
      </c>
      <c r="C9" s="29"/>
      <c r="D9" s="29"/>
      <c r="E9" s="29"/>
      <c r="F9" s="29"/>
      <c r="G9" s="29"/>
      <c r="H9" s="29"/>
      <c r="I9" s="29"/>
      <c r="J9" s="30" t="n">
        <f aca="false">IF(G9&gt;0,I9/G9*100,0)</f>
        <v>0</v>
      </c>
      <c r="K9" s="29"/>
      <c r="L9" s="29"/>
      <c r="M9" s="31" t="str">
        <f aca="false">IF(L9&gt;0,K9/L9,"-")</f>
        <v>-</v>
      </c>
      <c r="N9" s="29"/>
      <c r="O9" s="29"/>
    </row>
    <row r="10" customFormat="false" ht="18" hidden="false" customHeight="true" outlineLevel="0" collapsed="false">
      <c r="A10" s="28" t="s">
        <v>205</v>
      </c>
      <c r="B10" s="28" t="n">
        <v>7</v>
      </c>
      <c r="C10" s="29"/>
      <c r="D10" s="29"/>
      <c r="E10" s="29"/>
      <c r="F10" s="29"/>
      <c r="G10" s="29"/>
      <c r="H10" s="29"/>
      <c r="I10" s="29"/>
      <c r="J10" s="30" t="n">
        <f aca="false">IF(G10&gt;0,I10/G10*100,0)</f>
        <v>0</v>
      </c>
      <c r="K10" s="29"/>
      <c r="L10" s="29"/>
      <c r="M10" s="31" t="str">
        <f aca="false">IF(L10&gt;0,K10/L10,"-")</f>
        <v>-</v>
      </c>
      <c r="N10" s="29"/>
      <c r="O10" s="29"/>
    </row>
    <row r="11" customFormat="false" ht="18" hidden="false" customHeight="true" outlineLevel="0" collapsed="false">
      <c r="A11" s="28" t="s">
        <v>206</v>
      </c>
      <c r="B11" s="28" t="n">
        <v>8</v>
      </c>
      <c r="C11" s="29"/>
      <c r="D11" s="29"/>
      <c r="E11" s="29"/>
      <c r="F11" s="29"/>
      <c r="G11" s="29"/>
      <c r="H11" s="29"/>
      <c r="I11" s="29"/>
      <c r="J11" s="30" t="n">
        <f aca="false">IF(G11&gt;0,I11/G11*100,0)</f>
        <v>0</v>
      </c>
      <c r="K11" s="29"/>
      <c r="L11" s="29"/>
      <c r="M11" s="31" t="str">
        <f aca="false">IF(L11&gt;0,K11/L11,"-")</f>
        <v>-</v>
      </c>
      <c r="N11" s="29"/>
      <c r="O11" s="29"/>
    </row>
    <row r="12" customFormat="false" ht="18" hidden="false" customHeight="true" outlineLevel="0" collapsed="false">
      <c r="A12" s="28" t="s">
        <v>207</v>
      </c>
      <c r="B12" s="28" t="n">
        <v>9</v>
      </c>
      <c r="C12" s="29"/>
      <c r="D12" s="29"/>
      <c r="E12" s="29"/>
      <c r="F12" s="29"/>
      <c r="G12" s="29"/>
      <c r="H12" s="29"/>
      <c r="I12" s="29"/>
      <c r="J12" s="30" t="n">
        <f aca="false">IF(G12&gt;0,I12/G12*100,0)</f>
        <v>0</v>
      </c>
      <c r="K12" s="29"/>
      <c r="L12" s="29"/>
      <c r="M12" s="31" t="str">
        <f aca="false">IF(L12&gt;0,K12/L12,"-")</f>
        <v>-</v>
      </c>
      <c r="N12" s="29"/>
      <c r="O12" s="29"/>
    </row>
    <row r="13" customFormat="false" ht="18" hidden="false" customHeight="true" outlineLevel="0" collapsed="false">
      <c r="A13" s="28" t="s">
        <v>208</v>
      </c>
      <c r="B13" s="28" t="n">
        <v>10</v>
      </c>
      <c r="C13" s="29"/>
      <c r="D13" s="29"/>
      <c r="E13" s="29"/>
      <c r="F13" s="29"/>
      <c r="G13" s="29"/>
      <c r="H13" s="29"/>
      <c r="I13" s="29"/>
      <c r="J13" s="30" t="n">
        <f aca="false">IF(G13&gt;0,I13/G13*100,0)</f>
        <v>0</v>
      </c>
      <c r="K13" s="29"/>
      <c r="L13" s="29"/>
      <c r="M13" s="31" t="str">
        <f aca="false">IF(L13&gt;0,K13/L13,"-")</f>
        <v>-</v>
      </c>
      <c r="N13" s="29"/>
      <c r="O13" s="29"/>
    </row>
    <row r="14" customFormat="false" ht="18" hidden="false" customHeight="true" outlineLevel="0" collapsed="false">
      <c r="A14" s="28" t="s">
        <v>209</v>
      </c>
      <c r="B14" s="28" t="n">
        <v>11</v>
      </c>
      <c r="C14" s="29"/>
      <c r="D14" s="29"/>
      <c r="E14" s="29"/>
      <c r="F14" s="29"/>
      <c r="G14" s="29"/>
      <c r="H14" s="29"/>
      <c r="I14" s="29"/>
      <c r="J14" s="30" t="n">
        <f aca="false">IF(G14&gt;0,I14/G14*100,0)</f>
        <v>0</v>
      </c>
      <c r="K14" s="29"/>
      <c r="L14" s="29"/>
      <c r="M14" s="31" t="str">
        <f aca="false">IF(L14&gt;0,K14/L14,"-")</f>
        <v>-</v>
      </c>
      <c r="N14" s="29"/>
      <c r="O14" s="29"/>
    </row>
    <row r="15" customFormat="false" ht="18" hidden="false" customHeight="true" outlineLevel="0" collapsed="false">
      <c r="A15" s="28" t="s">
        <v>210</v>
      </c>
      <c r="B15" s="28" t="n">
        <v>12</v>
      </c>
      <c r="C15" s="29"/>
      <c r="D15" s="29"/>
      <c r="E15" s="29"/>
      <c r="F15" s="29"/>
      <c r="G15" s="29"/>
      <c r="H15" s="29"/>
      <c r="I15" s="29"/>
      <c r="J15" s="30" t="n">
        <f aca="false">IF(G15&gt;0,I15/G15*100,0)</f>
        <v>0</v>
      </c>
      <c r="K15" s="29"/>
      <c r="L15" s="29"/>
      <c r="M15" s="31" t="str">
        <f aca="false">IF(L15&gt;0,K15/L15,"-")</f>
        <v>-</v>
      </c>
      <c r="N15" s="29"/>
      <c r="O15" s="29"/>
    </row>
    <row r="16" customFormat="false" ht="18" hidden="false" customHeight="true" outlineLevel="0" collapsed="false">
      <c r="A16" s="28" t="s">
        <v>211</v>
      </c>
      <c r="B16" s="28" t="n">
        <v>13</v>
      </c>
      <c r="C16" s="29"/>
      <c r="D16" s="29"/>
      <c r="E16" s="29"/>
      <c r="F16" s="29"/>
      <c r="G16" s="29"/>
      <c r="H16" s="29"/>
      <c r="I16" s="29"/>
      <c r="J16" s="30" t="n">
        <f aca="false">IF(G16&gt;0,I16/G16*100,0)</f>
        <v>0</v>
      </c>
      <c r="K16" s="29"/>
      <c r="L16" s="29"/>
      <c r="M16" s="31" t="str">
        <f aca="false">IF(L16&gt;0,K16/L16,"-")</f>
        <v>-</v>
      </c>
      <c r="N16" s="29"/>
      <c r="O16" s="29"/>
    </row>
    <row r="17" customFormat="false" ht="18" hidden="false" customHeight="true" outlineLevel="0" collapsed="false">
      <c r="A17" s="28" t="s">
        <v>212</v>
      </c>
      <c r="B17" s="28" t="n">
        <v>14</v>
      </c>
      <c r="C17" s="29"/>
      <c r="D17" s="29"/>
      <c r="E17" s="29"/>
      <c r="F17" s="29"/>
      <c r="G17" s="29"/>
      <c r="H17" s="29"/>
      <c r="I17" s="29"/>
      <c r="J17" s="30" t="n">
        <f aca="false">IF(G17&gt;0,I17/G17*100,0)</f>
        <v>0</v>
      </c>
      <c r="K17" s="29"/>
      <c r="L17" s="29"/>
      <c r="M17" s="31" t="str">
        <f aca="false">IF(L17&gt;0,K17/L17,"-")</f>
        <v>-</v>
      </c>
      <c r="N17" s="29"/>
      <c r="O17" s="29"/>
    </row>
    <row r="18" customFormat="false" ht="18" hidden="false" customHeight="true" outlineLevel="0" collapsed="false">
      <c r="A18" s="28" t="s">
        <v>213</v>
      </c>
      <c r="B18" s="28" t="n">
        <v>15</v>
      </c>
      <c r="C18" s="29"/>
      <c r="D18" s="29"/>
      <c r="E18" s="29"/>
      <c r="F18" s="29"/>
      <c r="G18" s="29"/>
      <c r="H18" s="29"/>
      <c r="I18" s="29"/>
      <c r="J18" s="30" t="n">
        <f aca="false">IF(G18&gt;0,I18/G18*100,0)</f>
        <v>0</v>
      </c>
      <c r="K18" s="29"/>
      <c r="L18" s="29"/>
      <c r="M18" s="31" t="str">
        <f aca="false">IF(L18&gt;0,K18/L18,"-")</f>
        <v>-</v>
      </c>
      <c r="N18" s="29"/>
      <c r="O18" s="29"/>
    </row>
    <row r="19" customFormat="false" ht="18" hidden="false" customHeight="true" outlineLevel="0" collapsed="false">
      <c r="A19" s="28" t="s">
        <v>214</v>
      </c>
      <c r="B19" s="28" t="n">
        <v>16</v>
      </c>
      <c r="C19" s="29"/>
      <c r="D19" s="29"/>
      <c r="E19" s="29"/>
      <c r="F19" s="29"/>
      <c r="G19" s="29"/>
      <c r="H19" s="29"/>
      <c r="I19" s="29"/>
      <c r="J19" s="30" t="n">
        <f aca="false">IF(G19&gt;0,I19/G19*100,0)</f>
        <v>0</v>
      </c>
      <c r="K19" s="29"/>
      <c r="L19" s="29"/>
      <c r="M19" s="31" t="str">
        <f aca="false">IF(L19&gt;0,K19/L19,"-")</f>
        <v>-</v>
      </c>
      <c r="N19" s="29"/>
      <c r="O19" s="29"/>
    </row>
    <row r="20" customFormat="false" ht="18" hidden="false" customHeight="true" outlineLevel="0" collapsed="false">
      <c r="A20" s="28" t="s">
        <v>215</v>
      </c>
      <c r="B20" s="28" t="n">
        <v>17</v>
      </c>
      <c r="C20" s="29"/>
      <c r="D20" s="29"/>
      <c r="E20" s="29"/>
      <c r="F20" s="29"/>
      <c r="G20" s="29"/>
      <c r="H20" s="29"/>
      <c r="I20" s="29"/>
      <c r="J20" s="30" t="n">
        <f aca="false">IF(G20&gt;0,I20/G20*100,0)</f>
        <v>0</v>
      </c>
      <c r="K20" s="29"/>
      <c r="L20" s="29"/>
      <c r="M20" s="31" t="str">
        <f aca="false">IF(L20&gt;0,K20/L20,"-")</f>
        <v>-</v>
      </c>
      <c r="N20" s="29"/>
      <c r="O20" s="29"/>
    </row>
    <row r="21" customFormat="false" ht="18" hidden="false" customHeight="true" outlineLevel="0" collapsed="false">
      <c r="A21" s="28" t="s">
        <v>216</v>
      </c>
      <c r="B21" s="28" t="n">
        <v>18</v>
      </c>
      <c r="C21" s="29"/>
      <c r="D21" s="29"/>
      <c r="E21" s="29"/>
      <c r="F21" s="29"/>
      <c r="G21" s="29"/>
      <c r="H21" s="29"/>
      <c r="I21" s="29"/>
      <c r="J21" s="30" t="n">
        <f aca="false">IF(G21&gt;0,I21/G21*100,0)</f>
        <v>0</v>
      </c>
      <c r="K21" s="29"/>
      <c r="L21" s="29"/>
      <c r="M21" s="31" t="str">
        <f aca="false">IF(L21&gt;0,K21/L21,"-")</f>
        <v>-</v>
      </c>
      <c r="N21" s="29"/>
      <c r="O21" s="29"/>
    </row>
    <row r="22" customFormat="false" ht="18" hidden="false" customHeight="true" outlineLevel="0" collapsed="false">
      <c r="A22" s="28" t="s">
        <v>217</v>
      </c>
      <c r="B22" s="28" t="n">
        <v>19</v>
      </c>
      <c r="C22" s="29"/>
      <c r="D22" s="29"/>
      <c r="E22" s="29"/>
      <c r="F22" s="29"/>
      <c r="G22" s="29"/>
      <c r="H22" s="29"/>
      <c r="I22" s="29"/>
      <c r="J22" s="30" t="n">
        <f aca="false">IF(G22&gt;0,I22/G22*100,0)</f>
        <v>0</v>
      </c>
      <c r="K22" s="29"/>
      <c r="L22" s="29"/>
      <c r="M22" s="31" t="str">
        <f aca="false">IF(L22&gt;0,K22/L22,"-")</f>
        <v>-</v>
      </c>
      <c r="N22" s="29"/>
      <c r="O22" s="29"/>
    </row>
    <row r="23" customFormat="false" ht="18" hidden="false" customHeight="true" outlineLevel="0" collapsed="false">
      <c r="A23" s="28" t="s">
        <v>218</v>
      </c>
      <c r="B23" s="28" t="n">
        <v>20</v>
      </c>
      <c r="C23" s="29"/>
      <c r="D23" s="29"/>
      <c r="E23" s="29"/>
      <c r="F23" s="29"/>
      <c r="G23" s="29"/>
      <c r="H23" s="29"/>
      <c r="I23" s="29"/>
      <c r="J23" s="30" t="n">
        <f aca="false">IF(G23&gt;0,I23/G23*100,0)</f>
        <v>0</v>
      </c>
      <c r="K23" s="29"/>
      <c r="L23" s="29"/>
      <c r="M23" s="31" t="str">
        <f aca="false">IF(L23&gt;0,K23/L23,"-")</f>
        <v>-</v>
      </c>
      <c r="N23" s="29"/>
      <c r="O23" s="29"/>
    </row>
    <row r="24" customFormat="false" ht="18" hidden="false" customHeight="true" outlineLevel="0" collapsed="false">
      <c r="A24" s="28" t="s">
        <v>219</v>
      </c>
      <c r="B24" s="28" t="n">
        <v>21</v>
      </c>
      <c r="C24" s="29"/>
      <c r="D24" s="29"/>
      <c r="E24" s="29"/>
      <c r="F24" s="29"/>
      <c r="G24" s="29"/>
      <c r="H24" s="29"/>
      <c r="I24" s="29"/>
      <c r="J24" s="30" t="n">
        <f aca="false">IF(G24&gt;0,I24/G24*100,0)</f>
        <v>0</v>
      </c>
      <c r="K24" s="29"/>
      <c r="L24" s="29"/>
      <c r="M24" s="31" t="str">
        <f aca="false">IF(L24&gt;0,K24/L24,"-")</f>
        <v>-</v>
      </c>
      <c r="N24" s="29"/>
      <c r="O24" s="29"/>
    </row>
    <row r="25" customFormat="false" ht="18" hidden="false" customHeight="true" outlineLevel="0" collapsed="false">
      <c r="A25" s="28" t="s">
        <v>220</v>
      </c>
      <c r="B25" s="28" t="n">
        <v>22</v>
      </c>
      <c r="C25" s="29"/>
      <c r="D25" s="29"/>
      <c r="E25" s="29"/>
      <c r="F25" s="29"/>
      <c r="G25" s="29"/>
      <c r="H25" s="29"/>
      <c r="I25" s="29"/>
      <c r="J25" s="30" t="n">
        <f aca="false">IF(G25&gt;0,I25/G25*100,0)</f>
        <v>0</v>
      </c>
      <c r="K25" s="29"/>
      <c r="L25" s="29"/>
      <c r="M25" s="31" t="str">
        <f aca="false">IF(L25&gt;0,K25/L25,"-")</f>
        <v>-</v>
      </c>
      <c r="N25" s="29"/>
      <c r="O25" s="29"/>
    </row>
    <row r="26" customFormat="false" ht="18" hidden="false" customHeight="true" outlineLevel="0" collapsed="false">
      <c r="A26" s="28" t="s">
        <v>221</v>
      </c>
      <c r="B26" s="28" t="n">
        <v>23</v>
      </c>
      <c r="C26" s="29"/>
      <c r="D26" s="29"/>
      <c r="E26" s="29"/>
      <c r="F26" s="29"/>
      <c r="G26" s="29"/>
      <c r="H26" s="29"/>
      <c r="I26" s="29"/>
      <c r="J26" s="30" t="n">
        <f aca="false">IF(G26&gt;0,I26/G26*100,0)</f>
        <v>0</v>
      </c>
      <c r="K26" s="29"/>
      <c r="L26" s="29"/>
      <c r="M26" s="31" t="str">
        <f aca="false">IF(L26&gt;0,K26/L26,"-")</f>
        <v>-</v>
      </c>
      <c r="N26" s="29"/>
      <c r="O26" s="29"/>
    </row>
    <row r="27" customFormat="false" ht="18" hidden="false" customHeight="true" outlineLevel="0" collapsed="false">
      <c r="A27" s="28" t="s">
        <v>222</v>
      </c>
      <c r="B27" s="28" t="n">
        <v>24</v>
      </c>
      <c r="C27" s="29"/>
      <c r="D27" s="29"/>
      <c r="E27" s="29"/>
      <c r="F27" s="29"/>
      <c r="G27" s="29"/>
      <c r="H27" s="29"/>
      <c r="I27" s="29"/>
      <c r="J27" s="30" t="n">
        <f aca="false">IF(G27&gt;0,I27/G27*100,0)</f>
        <v>0</v>
      </c>
      <c r="K27" s="29"/>
      <c r="L27" s="29"/>
      <c r="M27" s="31" t="str">
        <f aca="false">IF(L27&gt;0,K27/L27,"-")</f>
        <v>-</v>
      </c>
      <c r="N27" s="29"/>
      <c r="O27" s="29"/>
    </row>
    <row r="28" customFormat="false" ht="18" hidden="false" customHeight="true" outlineLevel="0" collapsed="false">
      <c r="A28" s="28" t="s">
        <v>223</v>
      </c>
      <c r="B28" s="28" t="n">
        <v>25</v>
      </c>
      <c r="C28" s="29"/>
      <c r="D28" s="29"/>
      <c r="E28" s="29"/>
      <c r="F28" s="29"/>
      <c r="G28" s="29"/>
      <c r="H28" s="29"/>
      <c r="I28" s="29"/>
      <c r="J28" s="30" t="n">
        <f aca="false">IF(G28&gt;0,I28/G28*100,0)</f>
        <v>0</v>
      </c>
      <c r="K28" s="29"/>
      <c r="L28" s="29"/>
      <c r="M28" s="31" t="str">
        <f aca="false">IF(L28&gt;0,K28/L28,"-")</f>
        <v>-</v>
      </c>
      <c r="N28" s="29"/>
      <c r="O28" s="29"/>
    </row>
    <row r="29" customFormat="false" ht="18" hidden="false" customHeight="true" outlineLevel="0" collapsed="false">
      <c r="A29" s="28" t="s">
        <v>224</v>
      </c>
      <c r="B29" s="28" t="n">
        <v>26</v>
      </c>
      <c r="C29" s="29"/>
      <c r="D29" s="29"/>
      <c r="E29" s="29"/>
      <c r="F29" s="29"/>
      <c r="G29" s="29"/>
      <c r="H29" s="29"/>
      <c r="I29" s="29"/>
      <c r="J29" s="30" t="n">
        <f aca="false">IF(G29&gt;0,I29/G29*100,0)</f>
        <v>0</v>
      </c>
      <c r="K29" s="29"/>
      <c r="L29" s="29"/>
      <c r="M29" s="31" t="str">
        <f aca="false">IF(L29&gt;0,K29/L29,"-")</f>
        <v>-</v>
      </c>
      <c r="N29" s="29"/>
      <c r="O29" s="29"/>
    </row>
    <row r="30" customFormat="false" ht="18" hidden="false" customHeight="true" outlineLevel="0" collapsed="false">
      <c r="A30" s="28" t="s">
        <v>225</v>
      </c>
      <c r="B30" s="28" t="n">
        <v>27</v>
      </c>
      <c r="C30" s="29"/>
      <c r="D30" s="29"/>
      <c r="E30" s="29"/>
      <c r="F30" s="29"/>
      <c r="G30" s="29"/>
      <c r="H30" s="29"/>
      <c r="I30" s="29"/>
      <c r="J30" s="30" t="n">
        <f aca="false">IF(G30&gt;0,I30/G30*100,0)</f>
        <v>0</v>
      </c>
      <c r="K30" s="29"/>
      <c r="L30" s="29"/>
      <c r="M30" s="31" t="str">
        <f aca="false">IF(L30&gt;0,K30/L30,"-")</f>
        <v>-</v>
      </c>
      <c r="N30" s="29"/>
      <c r="O30" s="29"/>
    </row>
    <row r="31" customFormat="false" ht="18" hidden="false" customHeight="true" outlineLevel="0" collapsed="false">
      <c r="A31" s="28" t="s">
        <v>226</v>
      </c>
      <c r="B31" s="28" t="n">
        <v>28</v>
      </c>
      <c r="C31" s="29"/>
      <c r="D31" s="29"/>
      <c r="E31" s="29"/>
      <c r="F31" s="29"/>
      <c r="G31" s="29"/>
      <c r="H31" s="29"/>
      <c r="I31" s="29"/>
      <c r="J31" s="30" t="n">
        <f aca="false">IF(G31&gt;0,I31/G31*100,0)</f>
        <v>0</v>
      </c>
      <c r="K31" s="29"/>
      <c r="L31" s="29"/>
      <c r="M31" s="31" t="str">
        <f aca="false">IF(L31&gt;0,K31/L31,"-")</f>
        <v>-</v>
      </c>
      <c r="N31" s="29"/>
      <c r="O31" s="29"/>
    </row>
    <row r="32" customFormat="false" ht="18" hidden="false" customHeight="true" outlineLevel="0" collapsed="false">
      <c r="A32" s="28" t="s">
        <v>227</v>
      </c>
      <c r="B32" s="28" t="n">
        <v>29</v>
      </c>
      <c r="C32" s="29"/>
      <c r="D32" s="29"/>
      <c r="E32" s="29"/>
      <c r="F32" s="29"/>
      <c r="G32" s="29"/>
      <c r="H32" s="29"/>
      <c r="I32" s="29"/>
      <c r="J32" s="30" t="n">
        <f aca="false">IF(G32&gt;0,I32/G32*100,0)</f>
        <v>0</v>
      </c>
      <c r="K32" s="29"/>
      <c r="L32" s="29"/>
      <c r="M32" s="31" t="str">
        <f aca="false">IF(L32&gt;0,K32/L32,"-")</f>
        <v>-</v>
      </c>
      <c r="N32" s="29"/>
      <c r="O32" s="29"/>
    </row>
    <row r="33" customFormat="false" ht="18" hidden="false" customHeight="true" outlineLevel="0" collapsed="false">
      <c r="A33" s="28" t="s">
        <v>228</v>
      </c>
      <c r="B33" s="28" t="n">
        <v>30</v>
      </c>
      <c r="C33" s="29"/>
      <c r="D33" s="29"/>
      <c r="E33" s="29"/>
      <c r="F33" s="29"/>
      <c r="G33" s="29"/>
      <c r="H33" s="29"/>
      <c r="I33" s="29"/>
      <c r="J33" s="30" t="n">
        <f aca="false">IF(G33&gt;0,I33/G33*100,0)</f>
        <v>0</v>
      </c>
      <c r="K33" s="29"/>
      <c r="L33" s="29"/>
      <c r="M33" s="31" t="str">
        <f aca="false">IF(L33&gt;0,K33/L33,"-")</f>
        <v>-</v>
      </c>
      <c r="N33" s="29"/>
      <c r="O33" s="29"/>
    </row>
    <row r="34" customFormat="false" ht="21.75" hidden="false" customHeight="true" outlineLevel="0" collapsed="false">
      <c r="A34" s="32" t="s">
        <v>229</v>
      </c>
      <c r="B34" s="32"/>
      <c r="C34" s="32"/>
      <c r="D34" s="32"/>
      <c r="E34" s="32"/>
      <c r="F34" s="32"/>
      <c r="G34" s="33" t="n">
        <f aca="false">SUM(G4:G33)</f>
        <v>0</v>
      </c>
      <c r="H34" s="33" t="n">
        <f aca="false">SUM(H4:H33)</f>
        <v>0</v>
      </c>
      <c r="I34" s="33" t="n">
        <f aca="false">SUM(I4:I33)</f>
        <v>0</v>
      </c>
      <c r="J34" s="34" t="n">
        <f aca="false">IF(G34&gt;0,I34/G34*100,0)</f>
        <v>0</v>
      </c>
      <c r="K34" s="33" t="n">
        <f aca="false">SUM(K4:K33)</f>
        <v>0</v>
      </c>
      <c r="L34" s="33" t="n">
        <f aca="false">SUM(L4:L33)</f>
        <v>0</v>
      </c>
      <c r="M34" s="33" t="str">
        <f aca="false">IF(L34&gt;0,K34/L34,"-")</f>
        <v>-</v>
      </c>
      <c r="N34" s="33" t="n">
        <f aca="false">SUM(N4:N33)</f>
        <v>0</v>
      </c>
      <c r="O34" s="35" t="s">
        <v>230</v>
      </c>
    </row>
  </sheetData>
  <mergeCells count="2">
    <mergeCell ref="A1:O1"/>
    <mergeCell ref="A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4" min="3" style="0" width="22"/>
    <col collapsed="false" customWidth="true" hidden="false" outlineLevel="0" max="5" min="5" style="0" width="20"/>
    <col collapsed="false" customWidth="true" hidden="false" outlineLevel="0" max="7" min="6" style="0" width="30"/>
  </cols>
  <sheetData>
    <row r="1" customFormat="false" ht="36" hidden="false" customHeight="true" outlineLevel="0" collapsed="false">
      <c r="A1" s="21" t="s">
        <v>231</v>
      </c>
      <c r="B1" s="21"/>
      <c r="C1" s="21"/>
      <c r="D1" s="21"/>
      <c r="E1" s="21"/>
      <c r="F1" s="21"/>
      <c r="G1" s="21"/>
    </row>
    <row r="2" customFormat="false" ht="7.5" hidden="false" customHeight="true" outlineLevel="0" collapsed="false"/>
    <row r="3" customFormat="false" ht="24" hidden="false" customHeight="true" outlineLevel="0" collapsed="false">
      <c r="A3" s="36" t="s">
        <v>232</v>
      </c>
      <c r="B3" s="36"/>
      <c r="C3" s="36"/>
      <c r="D3" s="36"/>
      <c r="E3" s="36"/>
      <c r="F3" s="36"/>
      <c r="G3" s="36"/>
    </row>
    <row r="4" customFormat="false" ht="24" hidden="false" customHeight="true" outlineLevel="0" collapsed="false">
      <c r="A4" s="37" t="s">
        <v>233</v>
      </c>
      <c r="B4" s="37" t="s">
        <v>234</v>
      </c>
      <c r="C4" s="37" t="s">
        <v>235</v>
      </c>
      <c r="D4" s="37" t="s">
        <v>236</v>
      </c>
      <c r="E4" s="37" t="s">
        <v>237</v>
      </c>
      <c r="F4" s="37" t="s">
        <v>238</v>
      </c>
      <c r="G4" s="37" t="s">
        <v>239</v>
      </c>
    </row>
    <row r="5" customFormat="false" ht="39.75" hidden="false" customHeight="true" outlineLevel="0" collapsed="false">
      <c r="A5" s="22" t="n">
        <v>1</v>
      </c>
      <c r="B5" s="22" t="s">
        <v>240</v>
      </c>
      <c r="C5" s="22" t="s">
        <v>241</v>
      </c>
      <c r="D5" s="22" t="s">
        <v>242</v>
      </c>
      <c r="E5" s="22" t="s">
        <v>243</v>
      </c>
      <c r="F5" s="22" t="s">
        <v>244</v>
      </c>
      <c r="G5" s="22" t="s">
        <v>245</v>
      </c>
    </row>
    <row r="6" customFormat="false" ht="39.75" hidden="false" customHeight="true" outlineLevel="0" collapsed="false">
      <c r="A6" s="24" t="n">
        <v>2</v>
      </c>
      <c r="B6" s="24" t="s">
        <v>246</v>
      </c>
      <c r="C6" s="24" t="s">
        <v>247</v>
      </c>
      <c r="D6" s="24" t="s">
        <v>242</v>
      </c>
      <c r="E6" s="24" t="s">
        <v>248</v>
      </c>
      <c r="F6" s="24" t="s">
        <v>249</v>
      </c>
      <c r="G6" s="24" t="s">
        <v>250</v>
      </c>
    </row>
    <row r="7" customFormat="false" ht="39.75" hidden="false" customHeight="true" outlineLevel="0" collapsed="false">
      <c r="A7" s="22" t="n">
        <v>3</v>
      </c>
      <c r="B7" s="22" t="s">
        <v>251</v>
      </c>
      <c r="C7" s="22" t="s">
        <v>252</v>
      </c>
      <c r="D7" s="22" t="s">
        <v>242</v>
      </c>
      <c r="E7" s="22" t="s">
        <v>253</v>
      </c>
      <c r="F7" s="22" t="s">
        <v>254</v>
      </c>
      <c r="G7" s="22" t="s">
        <v>255</v>
      </c>
    </row>
    <row r="8" customFormat="false" ht="39.75" hidden="false" customHeight="true" outlineLevel="0" collapsed="false">
      <c r="A8" s="24" t="n">
        <v>4</v>
      </c>
      <c r="B8" s="24" t="s">
        <v>256</v>
      </c>
      <c r="C8" s="24" t="s">
        <v>241</v>
      </c>
      <c r="D8" s="24" t="s">
        <v>242</v>
      </c>
      <c r="E8" s="24" t="s">
        <v>257</v>
      </c>
      <c r="F8" s="24" t="s">
        <v>258</v>
      </c>
      <c r="G8" s="24" t="s">
        <v>259</v>
      </c>
    </row>
    <row r="9" customFormat="false" ht="39.75" hidden="false" customHeight="true" outlineLevel="0" collapsed="false">
      <c r="A9" s="22" t="n">
        <v>5</v>
      </c>
      <c r="B9" s="22" t="s">
        <v>260</v>
      </c>
      <c r="C9" s="22" t="s">
        <v>252</v>
      </c>
      <c r="D9" s="22" t="s">
        <v>242</v>
      </c>
      <c r="E9" s="22" t="s">
        <v>261</v>
      </c>
      <c r="F9" s="22" t="s">
        <v>262</v>
      </c>
      <c r="G9" s="22" t="s">
        <v>255</v>
      </c>
    </row>
    <row r="10" customFormat="false" ht="39.75" hidden="false" customHeight="true" outlineLevel="0" collapsed="false">
      <c r="A10" s="24" t="n">
        <v>6</v>
      </c>
      <c r="B10" s="24" t="s">
        <v>263</v>
      </c>
      <c r="C10" s="24" t="s">
        <v>264</v>
      </c>
      <c r="D10" s="24" t="s">
        <v>265</v>
      </c>
      <c r="E10" s="24" t="s">
        <v>266</v>
      </c>
      <c r="F10" s="24" t="s">
        <v>267</v>
      </c>
      <c r="G10" s="24" t="s">
        <v>259</v>
      </c>
    </row>
    <row r="12" customFormat="false" ht="30" hidden="false" customHeight="true" outlineLevel="0" collapsed="false">
      <c r="A12" s="38" t="s">
        <v>268</v>
      </c>
      <c r="B12" s="38"/>
      <c r="C12" s="38"/>
      <c r="D12" s="38"/>
      <c r="E12" s="38"/>
      <c r="F12" s="38"/>
      <c r="G12" s="38"/>
    </row>
    <row r="14" customFormat="false" ht="24" hidden="false" customHeight="true" outlineLevel="0" collapsed="false">
      <c r="A14" s="36" t="s">
        <v>269</v>
      </c>
      <c r="B14" s="36"/>
      <c r="C14" s="36"/>
      <c r="D14" s="36"/>
      <c r="E14" s="36"/>
      <c r="F14" s="36"/>
      <c r="G14" s="36"/>
    </row>
    <row r="15" customFormat="false" ht="24" hidden="false" customHeight="true" outlineLevel="0" collapsed="false">
      <c r="A15" s="37" t="s">
        <v>233</v>
      </c>
      <c r="B15" s="37" t="s">
        <v>234</v>
      </c>
      <c r="C15" s="37" t="s">
        <v>235</v>
      </c>
      <c r="D15" s="37" t="s">
        <v>236</v>
      </c>
      <c r="E15" s="37" t="s">
        <v>237</v>
      </c>
      <c r="F15" s="37" t="s">
        <v>238</v>
      </c>
      <c r="G15" s="37" t="s">
        <v>239</v>
      </c>
    </row>
    <row r="16" customFormat="false" ht="39.75" hidden="false" customHeight="true" outlineLevel="0" collapsed="false">
      <c r="A16" s="24" t="n">
        <v>1</v>
      </c>
      <c r="B16" s="24" t="s">
        <v>240</v>
      </c>
      <c r="C16" s="24" t="s">
        <v>241</v>
      </c>
      <c r="D16" s="24" t="s">
        <v>242</v>
      </c>
      <c r="E16" s="24" t="s">
        <v>270</v>
      </c>
      <c r="F16" s="24" t="s">
        <v>271</v>
      </c>
      <c r="G16" s="24" t="s">
        <v>245</v>
      </c>
    </row>
    <row r="17" customFormat="false" ht="39.75" hidden="false" customHeight="true" outlineLevel="0" collapsed="false">
      <c r="A17" s="22" t="n">
        <v>2</v>
      </c>
      <c r="B17" s="22" t="s">
        <v>246</v>
      </c>
      <c r="C17" s="22" t="s">
        <v>247</v>
      </c>
      <c r="D17" s="22" t="s">
        <v>242</v>
      </c>
      <c r="E17" s="22" t="s">
        <v>272</v>
      </c>
      <c r="F17" s="22" t="s">
        <v>273</v>
      </c>
      <c r="G17" s="22" t="s">
        <v>250</v>
      </c>
    </row>
    <row r="18" customFormat="false" ht="39.75" hidden="false" customHeight="true" outlineLevel="0" collapsed="false">
      <c r="A18" s="24" t="n">
        <v>3</v>
      </c>
      <c r="B18" s="24" t="s">
        <v>274</v>
      </c>
      <c r="C18" s="24" t="s">
        <v>252</v>
      </c>
      <c r="D18" s="24" t="s">
        <v>242</v>
      </c>
      <c r="E18" s="24" t="s">
        <v>275</v>
      </c>
      <c r="F18" s="24" t="s">
        <v>276</v>
      </c>
      <c r="G18" s="24" t="s">
        <v>255</v>
      </c>
    </row>
    <row r="19" customFormat="false" ht="39.75" hidden="false" customHeight="true" outlineLevel="0" collapsed="false">
      <c r="A19" s="22" t="n">
        <v>4</v>
      </c>
      <c r="B19" s="22" t="s">
        <v>277</v>
      </c>
      <c r="C19" s="22" t="s">
        <v>241</v>
      </c>
      <c r="D19" s="22" t="s">
        <v>265</v>
      </c>
      <c r="E19" s="22" t="s">
        <v>278</v>
      </c>
      <c r="F19" s="22" t="s">
        <v>279</v>
      </c>
      <c r="G19" s="22" t="s">
        <v>259</v>
      </c>
    </row>
    <row r="20" customFormat="false" ht="39.75" hidden="false" customHeight="true" outlineLevel="0" collapsed="false">
      <c r="A20" s="24" t="n">
        <v>5</v>
      </c>
      <c r="B20" s="24" t="s">
        <v>280</v>
      </c>
      <c r="C20" s="24" t="s">
        <v>241</v>
      </c>
      <c r="D20" s="24" t="s">
        <v>242</v>
      </c>
      <c r="E20" s="24" t="s">
        <v>281</v>
      </c>
      <c r="F20" s="24" t="s">
        <v>258</v>
      </c>
      <c r="G20" s="24" t="s">
        <v>259</v>
      </c>
    </row>
    <row r="21" customFormat="false" ht="39.75" hidden="false" customHeight="true" outlineLevel="0" collapsed="false">
      <c r="A21" s="22" t="n">
        <v>6</v>
      </c>
      <c r="B21" s="22" t="s">
        <v>282</v>
      </c>
      <c r="C21" s="22" t="s">
        <v>283</v>
      </c>
      <c r="D21" s="22" t="s">
        <v>242</v>
      </c>
      <c r="E21" s="22" t="s">
        <v>284</v>
      </c>
      <c r="F21" s="22" t="s">
        <v>244</v>
      </c>
      <c r="G21" s="22" t="s">
        <v>285</v>
      </c>
    </row>
    <row r="22" customFormat="false" ht="39.75" hidden="false" customHeight="true" outlineLevel="0" collapsed="false">
      <c r="A22" s="24" t="n">
        <v>7</v>
      </c>
      <c r="B22" s="24" t="s">
        <v>286</v>
      </c>
      <c r="C22" s="24" t="s">
        <v>283</v>
      </c>
      <c r="D22" s="24" t="s">
        <v>242</v>
      </c>
      <c r="E22" s="24" t="s">
        <v>284</v>
      </c>
      <c r="F22" s="24" t="s">
        <v>287</v>
      </c>
      <c r="G22" s="24" t="s">
        <v>285</v>
      </c>
    </row>
    <row r="23" customFormat="false" ht="39.75" hidden="false" customHeight="true" outlineLevel="0" collapsed="false">
      <c r="A23" s="22" t="n">
        <v>8</v>
      </c>
      <c r="B23" s="22" t="s">
        <v>288</v>
      </c>
      <c r="C23" s="22" t="s">
        <v>264</v>
      </c>
      <c r="D23" s="22" t="s">
        <v>265</v>
      </c>
      <c r="E23" s="22" t="s">
        <v>289</v>
      </c>
      <c r="F23" s="22" t="s">
        <v>290</v>
      </c>
      <c r="G23" s="22" t="s">
        <v>259</v>
      </c>
    </row>
    <row r="25" customFormat="false" ht="24" hidden="false" customHeight="true" outlineLevel="0" collapsed="false">
      <c r="A25" s="39" t="s">
        <v>291</v>
      </c>
      <c r="B25" s="39"/>
      <c r="C25" s="39"/>
      <c r="D25" s="39"/>
      <c r="E25" s="39"/>
      <c r="F25" s="39"/>
      <c r="G25" s="39"/>
    </row>
  </sheetData>
  <mergeCells count="5">
    <mergeCell ref="A1:G1"/>
    <mergeCell ref="A3:G3"/>
    <mergeCell ref="A12:G12"/>
    <mergeCell ref="A14:G14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8"/>
    <col collapsed="false" customWidth="true" hidden="false" outlineLevel="0" max="7" min="6" style="0" width="22"/>
    <col collapsed="false" customWidth="true" hidden="false" outlineLevel="0" max="8" min="8" style="0" width="28"/>
  </cols>
  <sheetData>
    <row r="1" customFormat="false" ht="36" hidden="false" customHeight="true" outlineLevel="0" collapsed="false">
      <c r="A1" s="21" t="s">
        <v>292</v>
      </c>
      <c r="B1" s="21"/>
      <c r="C1" s="21"/>
      <c r="D1" s="21"/>
      <c r="E1" s="21"/>
      <c r="F1" s="21"/>
      <c r="G1" s="21"/>
      <c r="H1" s="21"/>
    </row>
    <row r="2" customFormat="false" ht="7.5" hidden="false" customHeight="true" outlineLevel="0" collapsed="false"/>
    <row r="3" customFormat="false" ht="21.75" hidden="false" customHeight="true" outlineLevel="0" collapsed="false">
      <c r="A3" s="3" t="s">
        <v>293</v>
      </c>
      <c r="B3" s="3"/>
      <c r="C3" s="3"/>
      <c r="D3" s="3"/>
      <c r="E3" s="3"/>
      <c r="F3" s="3"/>
      <c r="G3" s="3"/>
      <c r="H3" s="3"/>
    </row>
    <row r="4" customFormat="false" ht="24" hidden="false" customHeight="true" outlineLevel="0" collapsed="false">
      <c r="A4" s="7" t="s">
        <v>294</v>
      </c>
      <c r="B4" s="7" t="s">
        <v>295</v>
      </c>
      <c r="C4" s="7" t="s">
        <v>296</v>
      </c>
      <c r="D4" s="7" t="s">
        <v>297</v>
      </c>
      <c r="E4" s="7" t="s">
        <v>298</v>
      </c>
      <c r="F4" s="7" t="s">
        <v>299</v>
      </c>
      <c r="G4" s="7" t="s">
        <v>300</v>
      </c>
      <c r="H4" s="7" t="s">
        <v>97</v>
      </c>
    </row>
    <row r="5" customFormat="false" ht="27.75" hidden="false" customHeight="true" outlineLevel="0" collapsed="false">
      <c r="A5" s="22" t="s">
        <v>301</v>
      </c>
      <c r="B5" s="22" t="s">
        <v>302</v>
      </c>
      <c r="C5" s="22" t="s">
        <v>303</v>
      </c>
      <c r="D5" s="22" t="s">
        <v>304</v>
      </c>
      <c r="E5" s="22" t="n">
        <f aca="false">C5*30+D5*30</f>
        <v>4500</v>
      </c>
      <c r="F5" s="22" t="n">
        <f aca="false">C5*30/25</f>
        <v>108</v>
      </c>
      <c r="G5" s="22" t="n">
        <f aca="false">D5*30/35</f>
        <v>51.4285714285714</v>
      </c>
      <c r="H5" s="22" t="s">
        <v>305</v>
      </c>
    </row>
    <row r="6" customFormat="false" ht="27.75" hidden="false" customHeight="true" outlineLevel="0" collapsed="false">
      <c r="A6" s="24" t="s">
        <v>306</v>
      </c>
      <c r="B6" s="24" t="s">
        <v>307</v>
      </c>
      <c r="C6" s="24" t="s">
        <v>308</v>
      </c>
      <c r="D6" s="24" t="s">
        <v>309</v>
      </c>
      <c r="E6" s="24" t="n">
        <f aca="false">C6*30+D6*30</f>
        <v>9000</v>
      </c>
      <c r="F6" s="24" t="n">
        <f aca="false">C6*30/25</f>
        <v>216</v>
      </c>
      <c r="G6" s="24" t="n">
        <f aca="false">D6*30/35</f>
        <v>102.857142857143</v>
      </c>
      <c r="H6" s="24" t="s">
        <v>310</v>
      </c>
    </row>
    <row r="7" customFormat="false" ht="27.75" hidden="false" customHeight="true" outlineLevel="0" collapsed="false">
      <c r="A7" s="12" t="s">
        <v>311</v>
      </c>
      <c r="B7" s="40" t="s">
        <v>312</v>
      </c>
      <c r="C7" s="40" t="s">
        <v>312</v>
      </c>
      <c r="D7" s="40" t="s">
        <v>312</v>
      </c>
      <c r="E7" s="13" t="s">
        <v>313</v>
      </c>
      <c r="F7" s="13" t="s">
        <v>313</v>
      </c>
      <c r="G7" s="13" t="s">
        <v>313</v>
      </c>
      <c r="H7" s="13" t="s">
        <v>314</v>
      </c>
    </row>
    <row r="9" customFormat="false" ht="7.5" hidden="false" customHeight="true" outlineLevel="0" collapsed="false"/>
    <row r="10" customFormat="false" ht="21.75" hidden="false" customHeight="true" outlineLevel="0" collapsed="false">
      <c r="A10" s="3" t="s">
        <v>315</v>
      </c>
      <c r="B10" s="3"/>
      <c r="C10" s="3"/>
      <c r="D10" s="3"/>
      <c r="E10" s="3"/>
      <c r="F10" s="3"/>
      <c r="G10" s="3"/>
      <c r="H10" s="3"/>
    </row>
    <row r="11" customFormat="false" ht="21.75" hidden="false" customHeight="true" outlineLevel="0" collapsed="false">
      <c r="A11" s="7" t="s">
        <v>316</v>
      </c>
      <c r="B11" s="7" t="s">
        <v>317</v>
      </c>
      <c r="C11" s="7" t="s">
        <v>318</v>
      </c>
      <c r="D11" s="7" t="s">
        <v>97</v>
      </c>
      <c r="E11" s="7"/>
      <c r="F11" s="7"/>
      <c r="G11" s="7"/>
      <c r="H11" s="7"/>
    </row>
    <row r="12" customFormat="false" ht="19.5" hidden="false" customHeight="true" outlineLevel="0" collapsed="false">
      <c r="A12" s="22" t="s">
        <v>319</v>
      </c>
      <c r="B12" s="22" t="s">
        <v>320</v>
      </c>
      <c r="C12" s="22" t="s">
        <v>320</v>
      </c>
      <c r="D12" s="22" t="s">
        <v>321</v>
      </c>
      <c r="E12" s="41"/>
      <c r="F12" s="41"/>
      <c r="G12" s="41"/>
      <c r="H12" s="41"/>
    </row>
    <row r="13" customFormat="false" ht="19.5" hidden="false" customHeight="true" outlineLevel="0" collapsed="false">
      <c r="A13" s="24" t="s">
        <v>322</v>
      </c>
      <c r="B13" s="24" t="s">
        <v>323</v>
      </c>
      <c r="C13" s="24" t="s">
        <v>323</v>
      </c>
      <c r="D13" s="24" t="s">
        <v>324</v>
      </c>
      <c r="E13" s="42"/>
      <c r="F13" s="42"/>
      <c r="G13" s="42"/>
      <c r="H13" s="42"/>
    </row>
    <row r="14" customFormat="false" ht="19.5" hidden="false" customHeight="true" outlineLevel="0" collapsed="false">
      <c r="A14" s="22" t="s">
        <v>325</v>
      </c>
      <c r="B14" s="22" t="s">
        <v>108</v>
      </c>
      <c r="C14" s="22" t="s">
        <v>153</v>
      </c>
      <c r="D14" s="22" t="s">
        <v>326</v>
      </c>
      <c r="E14" s="41"/>
      <c r="F14" s="41"/>
      <c r="G14" s="41"/>
      <c r="H14" s="41"/>
    </row>
    <row r="15" customFormat="false" ht="19.5" hidden="false" customHeight="true" outlineLevel="0" collapsed="false">
      <c r="A15" s="24" t="s">
        <v>327</v>
      </c>
      <c r="B15" s="24" t="s">
        <v>328</v>
      </c>
      <c r="C15" s="24" t="s">
        <v>328</v>
      </c>
      <c r="D15" s="24" t="s">
        <v>329</v>
      </c>
      <c r="E15" s="42"/>
      <c r="F15" s="42"/>
      <c r="G15" s="42"/>
      <c r="H15" s="42"/>
    </row>
    <row r="16" customFormat="false" ht="19.5" hidden="false" customHeight="true" outlineLevel="0" collapsed="false">
      <c r="A16" s="22" t="s">
        <v>330</v>
      </c>
      <c r="B16" s="22" t="s">
        <v>331</v>
      </c>
      <c r="C16" s="22" t="s">
        <v>331</v>
      </c>
      <c r="D16" s="22" t="s">
        <v>332</v>
      </c>
      <c r="E16" s="41"/>
      <c r="F16" s="41"/>
      <c r="G16" s="41"/>
      <c r="H16" s="41"/>
    </row>
    <row r="18" customFormat="false" ht="7.5" hidden="false" customHeight="true" outlineLevel="0" collapsed="false"/>
    <row r="19" customFormat="false" ht="21.75" hidden="false" customHeight="true" outlineLevel="0" collapsed="false">
      <c r="A19" s="3" t="s">
        <v>333</v>
      </c>
      <c r="B19" s="3"/>
      <c r="C19" s="3"/>
      <c r="D19" s="3"/>
      <c r="E19" s="3"/>
      <c r="F19" s="3"/>
      <c r="G19" s="3"/>
      <c r="H19" s="3"/>
    </row>
    <row r="20" customFormat="false" ht="30" hidden="false" customHeight="true" outlineLevel="0" collapsed="false">
      <c r="A20" s="4" t="s">
        <v>334</v>
      </c>
      <c r="B20" s="5" t="s">
        <v>335</v>
      </c>
      <c r="C20" s="5"/>
      <c r="D20" s="5"/>
      <c r="E20" s="5"/>
      <c r="F20" s="5"/>
      <c r="G20" s="5"/>
      <c r="H20" s="5"/>
    </row>
    <row r="21" customFormat="false" ht="30" hidden="false" customHeight="true" outlineLevel="0" collapsed="false">
      <c r="A21" s="4" t="s">
        <v>336</v>
      </c>
      <c r="B21" s="5" t="s">
        <v>337</v>
      </c>
      <c r="C21" s="5"/>
      <c r="D21" s="5"/>
      <c r="E21" s="5"/>
      <c r="F21" s="5"/>
      <c r="G21" s="5"/>
      <c r="H21" s="5"/>
    </row>
    <row r="22" customFormat="false" ht="30" hidden="false" customHeight="true" outlineLevel="0" collapsed="false">
      <c r="A22" s="4" t="s">
        <v>338</v>
      </c>
      <c r="B22" s="5" t="s">
        <v>339</v>
      </c>
      <c r="C22" s="5"/>
      <c r="D22" s="5"/>
      <c r="E22" s="5"/>
      <c r="F22" s="5"/>
      <c r="G22" s="5"/>
      <c r="H22" s="5"/>
    </row>
    <row r="23" customFormat="false" ht="30" hidden="false" customHeight="true" outlineLevel="0" collapsed="false">
      <c r="A23" s="4" t="s">
        <v>340</v>
      </c>
      <c r="B23" s="5" t="s">
        <v>341</v>
      </c>
      <c r="C23" s="5"/>
      <c r="D23" s="5"/>
      <c r="E23" s="5"/>
      <c r="F23" s="5"/>
      <c r="G23" s="5"/>
      <c r="H23" s="5"/>
    </row>
  </sheetData>
  <mergeCells count="8">
    <mergeCell ref="A1:H1"/>
    <mergeCell ref="A3:H3"/>
    <mergeCell ref="A10:H10"/>
    <mergeCell ref="A19:H19"/>
    <mergeCell ref="B20:H20"/>
    <mergeCell ref="B21:H21"/>
    <mergeCell ref="B22:H22"/>
    <mergeCell ref="B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2026-04-29T13:07:40Z</dcterms:created>
  <dc:creator>openpyxl</dc:creator>
  <dc:description/>
  <dc:language>en-US</dc:language>
  <cp:lastModifiedBy/>
  <dcterms:modified xsi:type="dcterms:W3CDTF">2026-04-29T13:07:40Z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